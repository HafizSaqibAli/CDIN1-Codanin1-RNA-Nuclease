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jabrolih/Desktop/GitHub upload/"/>
    </mc:Choice>
  </mc:AlternateContent>
  <xr:revisionPtr revIDLastSave="0" documentId="8_{C78CCFAC-5A6E-0D48-A61A-00DE158B0192}" xr6:coauthVersionLast="47" xr6:coauthVersionMax="47" xr10:uidLastSave="{00000000-0000-0000-0000-000000000000}"/>
  <bookViews>
    <workbookView xWindow="780" yWindow="1000" windowWidth="27640" windowHeight="15440" activeTab="3" xr2:uid="{9EE33019-5D6D-D041-BC32-5AE639B4EF51}"/>
  </bookViews>
  <sheets>
    <sheet name="Results " sheetId="1" r:id="rId1"/>
    <sheet name="Results 2" sheetId="3" r:id="rId2"/>
    <sheet name="Results 3" sheetId="2" r:id="rId3"/>
    <sheet name="Results 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1" i="4" l="1"/>
  <c r="T21" i="4"/>
  <c r="N21" i="4"/>
  <c r="M21" i="4"/>
  <c r="U20" i="4"/>
  <c r="T20" i="4"/>
  <c r="N20" i="4"/>
  <c r="M20" i="4"/>
  <c r="U19" i="4"/>
  <c r="T19" i="4"/>
  <c r="N19" i="4"/>
  <c r="M19" i="4"/>
  <c r="U18" i="4"/>
  <c r="T18" i="4"/>
  <c r="N18" i="4"/>
  <c r="M18" i="4"/>
  <c r="U15" i="4"/>
  <c r="T15" i="4"/>
  <c r="N15" i="4"/>
  <c r="M15" i="4"/>
  <c r="U14" i="4"/>
  <c r="T14" i="4"/>
  <c r="N14" i="4"/>
  <c r="M14" i="4"/>
  <c r="U13" i="4"/>
  <c r="T13" i="4"/>
  <c r="N13" i="4"/>
  <c r="M13" i="4"/>
  <c r="U12" i="4"/>
  <c r="T12" i="4"/>
  <c r="N12" i="4"/>
  <c r="M12" i="4"/>
  <c r="U9" i="4"/>
  <c r="T9" i="4"/>
  <c r="N9" i="4"/>
  <c r="M9" i="4"/>
  <c r="U8" i="4"/>
  <c r="T8" i="4"/>
  <c r="N8" i="4"/>
  <c r="M8" i="4"/>
  <c r="U7" i="4"/>
  <c r="T7" i="4"/>
  <c r="N7" i="4"/>
  <c r="M7" i="4"/>
  <c r="U6" i="4"/>
  <c r="T6" i="4"/>
  <c r="N6" i="4"/>
  <c r="M6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M27" i="3"/>
  <c r="L27" i="3"/>
  <c r="M26" i="3"/>
  <c r="L26" i="3"/>
  <c r="M25" i="3"/>
  <c r="L25" i="3"/>
  <c r="M24" i="3"/>
  <c r="L24" i="3"/>
  <c r="F24" i="3"/>
  <c r="E24" i="3"/>
  <c r="M23" i="3"/>
  <c r="L23" i="3"/>
  <c r="F23" i="3"/>
  <c r="E23" i="3"/>
  <c r="M22" i="3"/>
  <c r="L22" i="3"/>
  <c r="F22" i="3"/>
  <c r="E22" i="3"/>
  <c r="F21" i="3"/>
  <c r="E21" i="3"/>
  <c r="F20" i="3"/>
  <c r="E20" i="3"/>
  <c r="M19" i="3"/>
  <c r="L19" i="3"/>
  <c r="M18" i="3"/>
  <c r="L18" i="3"/>
  <c r="M17" i="3"/>
  <c r="L17" i="3"/>
  <c r="F17" i="3"/>
  <c r="E17" i="3"/>
  <c r="M16" i="3"/>
  <c r="L16" i="3"/>
  <c r="F16" i="3"/>
  <c r="E16" i="3"/>
  <c r="M15" i="3"/>
  <c r="L15" i="3"/>
  <c r="F15" i="3"/>
  <c r="E15" i="3"/>
  <c r="M14" i="3"/>
  <c r="L14" i="3"/>
  <c r="F14" i="3"/>
  <c r="E14" i="3"/>
  <c r="F13" i="3"/>
  <c r="E13" i="3"/>
  <c r="M11" i="3"/>
  <c r="L11" i="3"/>
  <c r="M10" i="3"/>
  <c r="L10" i="3"/>
  <c r="F10" i="3"/>
  <c r="E10" i="3"/>
  <c r="M9" i="3"/>
  <c r="L9" i="3"/>
  <c r="F9" i="3"/>
  <c r="E9" i="3"/>
  <c r="M8" i="3"/>
  <c r="L8" i="3"/>
  <c r="F8" i="3"/>
  <c r="E8" i="3"/>
  <c r="M7" i="3"/>
  <c r="L7" i="3"/>
  <c r="F7" i="3"/>
  <c r="E7" i="3"/>
  <c r="M6" i="3"/>
  <c r="L6" i="3"/>
  <c r="F6" i="3"/>
  <c r="E6" i="3"/>
  <c r="F33" i="1"/>
  <c r="E33" i="1"/>
  <c r="F32" i="1"/>
  <c r="E32" i="1"/>
  <c r="N31" i="1"/>
  <c r="M31" i="1"/>
  <c r="F31" i="1"/>
  <c r="E31" i="1"/>
  <c r="W30" i="1"/>
  <c r="V30" i="1"/>
  <c r="N30" i="1"/>
  <c r="M30" i="1"/>
  <c r="F30" i="1"/>
  <c r="E30" i="1"/>
  <c r="N29" i="1"/>
  <c r="M29" i="1"/>
  <c r="N28" i="1"/>
  <c r="M28" i="1"/>
  <c r="W27" i="1"/>
  <c r="V27" i="1"/>
  <c r="N27" i="1"/>
  <c r="M27" i="1"/>
  <c r="F27" i="1"/>
  <c r="E27" i="1"/>
  <c r="W26" i="1"/>
  <c r="V26" i="1"/>
  <c r="F26" i="1"/>
  <c r="E26" i="1"/>
  <c r="W25" i="1"/>
  <c r="V25" i="1"/>
  <c r="F25" i="1"/>
  <c r="E25" i="1"/>
  <c r="W24" i="1"/>
  <c r="V24" i="1"/>
  <c r="N24" i="1"/>
  <c r="M24" i="1"/>
  <c r="F24" i="1"/>
  <c r="E24" i="1"/>
  <c r="N23" i="1"/>
  <c r="M23" i="1"/>
  <c r="N22" i="1"/>
  <c r="M22" i="1"/>
  <c r="W21" i="1"/>
  <c r="V21" i="1"/>
  <c r="N21" i="1"/>
  <c r="M21" i="1"/>
  <c r="F21" i="1"/>
  <c r="E21" i="1"/>
  <c r="W20" i="1"/>
  <c r="V20" i="1"/>
  <c r="N20" i="1"/>
  <c r="M20" i="1"/>
  <c r="F20" i="1"/>
  <c r="E20" i="1"/>
  <c r="W19" i="1"/>
  <c r="V19" i="1"/>
  <c r="F19" i="1"/>
  <c r="E19" i="1"/>
  <c r="W18" i="1"/>
  <c r="V18" i="1"/>
  <c r="F18" i="1"/>
  <c r="E18" i="1"/>
  <c r="N17" i="1"/>
  <c r="M17" i="1"/>
  <c r="N16" i="1"/>
  <c r="M16" i="1"/>
  <c r="W15" i="1"/>
  <c r="V15" i="1"/>
  <c r="N15" i="1"/>
  <c r="M15" i="1"/>
  <c r="F15" i="1"/>
  <c r="E15" i="1"/>
  <c r="W14" i="1"/>
  <c r="V14" i="1"/>
  <c r="N14" i="1"/>
  <c r="M14" i="1"/>
  <c r="F14" i="1"/>
  <c r="E14" i="1"/>
  <c r="W13" i="1"/>
  <c r="V13" i="1"/>
  <c r="N13" i="1"/>
  <c r="M13" i="1"/>
  <c r="F13" i="1"/>
  <c r="E13" i="1"/>
  <c r="W12" i="1"/>
  <c r="V12" i="1"/>
  <c r="F12" i="1"/>
  <c r="E12" i="1"/>
  <c r="N10" i="1"/>
  <c r="M10" i="1"/>
  <c r="W9" i="1"/>
  <c r="V9" i="1"/>
  <c r="N9" i="1"/>
  <c r="M9" i="1"/>
  <c r="F9" i="1"/>
  <c r="E9" i="1"/>
  <c r="W8" i="1"/>
  <c r="V8" i="1"/>
  <c r="N8" i="1"/>
  <c r="M8" i="1"/>
  <c r="F8" i="1"/>
  <c r="E8" i="1"/>
  <c r="W7" i="1"/>
  <c r="V7" i="1"/>
  <c r="N7" i="1"/>
  <c r="M7" i="1"/>
  <c r="F7" i="1"/>
  <c r="E7" i="1"/>
  <c r="W6" i="1"/>
  <c r="V6" i="1"/>
  <c r="N6" i="1"/>
  <c r="M6" i="1"/>
  <c r="F6" i="1"/>
  <c r="E6" i="1"/>
</calcChain>
</file>

<file path=xl/sharedStrings.xml><?xml version="1.0" encoding="utf-8"?>
<sst xmlns="http://schemas.openxmlformats.org/spreadsheetml/2006/main" count="102" uniqueCount="48">
  <si>
    <t>QUANTIFICATIONS FOR GELS</t>
  </si>
  <si>
    <t>Fig. 2A: CDIN1 on ssDNA, dsDNA, ssRNA, dsRNA, RNA-DNA</t>
  </si>
  <si>
    <t>Fig. 3D: CDIN1 vs CDIN1-Codanin-1 on ssRNA and RNA-DNA</t>
  </si>
  <si>
    <t>Fig. 4A: CDIN1 D196, E214, WT CDIN, CDAN, complex on ssRNA and RNA-DNA</t>
  </si>
  <si>
    <t>ssDNA</t>
  </si>
  <si>
    <t>Repeat 1</t>
  </si>
  <si>
    <t>Repeat 2</t>
  </si>
  <si>
    <t>Repeat 3</t>
  </si>
  <si>
    <t>Mean</t>
  </si>
  <si>
    <t>Error</t>
  </si>
  <si>
    <t>CDIN1 ssRNA</t>
  </si>
  <si>
    <t>CDIN1 D196, E214 on RNA-DNA</t>
  </si>
  <si>
    <t>dsDNA</t>
  </si>
  <si>
    <t>WT CDIN1</t>
  </si>
  <si>
    <t>CDIN1-Codanin-1 ssRNA</t>
  </si>
  <si>
    <t>ssRNA</t>
  </si>
  <si>
    <t>Codanin-1</t>
  </si>
  <si>
    <t>CDIN1 RNA-DNA</t>
  </si>
  <si>
    <t>dsRNA</t>
  </si>
  <si>
    <t>CDIN1-Codanin-1</t>
  </si>
  <si>
    <t>CDIN1-Codanin-1 RNA-DNA</t>
  </si>
  <si>
    <t>RNA-DNA</t>
  </si>
  <si>
    <t>CDIN1 D196, E214 on ssRNA</t>
  </si>
  <si>
    <t xml:space="preserve">Fig. 6D: Patient mutants/individual </t>
  </si>
  <si>
    <t>Fig. 6A: Patient mutant complexes</t>
  </si>
  <si>
    <t>CDIN1</t>
  </si>
  <si>
    <t>CDIN1 Y94C-Codanin-1</t>
  </si>
  <si>
    <t>CDIN1 Y94C</t>
  </si>
  <si>
    <t>CDIN1 L178Q</t>
  </si>
  <si>
    <t>CDIN1 L178Q-Codanin-1</t>
  </si>
  <si>
    <t xml:space="preserve">Fig. 4F: 3'OH, 3'P and 3'Biotin </t>
  </si>
  <si>
    <t>Fig. 4D: 10mer, 20mer, 30mer on RNA-DNA</t>
  </si>
  <si>
    <t>Suppl. Fig. 8E: RNA-loops</t>
  </si>
  <si>
    <t>Suppl. Fig. 8F: DNA-loops</t>
  </si>
  <si>
    <t>3'OH</t>
  </si>
  <si>
    <t>10mer</t>
  </si>
  <si>
    <t>10merRNA</t>
  </si>
  <si>
    <t>10merDNA</t>
  </si>
  <si>
    <t>R-loop</t>
  </si>
  <si>
    <t>D-loop</t>
  </si>
  <si>
    <t>3' P</t>
  </si>
  <si>
    <t>20mer</t>
  </si>
  <si>
    <t>10merRNA with loop</t>
  </si>
  <si>
    <t>10merDNA with loop</t>
  </si>
  <si>
    <t>3'Biotin</t>
  </si>
  <si>
    <t>30mer</t>
  </si>
  <si>
    <t>Suppl. Fig. 6B: Time course on ssRNA/RNA-DNA</t>
  </si>
  <si>
    <t>125nM CDIN1-Codanin-1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</si>
</sst>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F83D-5AA4-EF49-AC96-4C85EC9AFA55}">
  <dimension ref="A1:W33"/>
  <sheetViews>
    <sheetView topLeftCell="K1" workbookViewId="0">
      <selection activeCell="Z3" sqref="Z3"/>
    </sheetView>
  </sheetViews>
  <sheetFormatPr baseColWidth="10" defaultRowHeight="16" x14ac:dyDescent="0.2"/>
  <sheetData>
    <row r="1" spans="1:23" x14ac:dyDescent="0.2">
      <c r="A1" s="1" t="s">
        <v>0</v>
      </c>
    </row>
    <row r="3" spans="1:23" x14ac:dyDescent="0.2">
      <c r="A3" s="1" t="s">
        <v>1</v>
      </c>
      <c r="I3" s="1" t="s">
        <v>2</v>
      </c>
      <c r="R3" s="1" t="s">
        <v>3</v>
      </c>
    </row>
    <row r="5" spans="1:23" x14ac:dyDescent="0.2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I5" t="s">
        <v>10</v>
      </c>
      <c r="J5" t="s">
        <v>5</v>
      </c>
      <c r="K5" t="s">
        <v>6</v>
      </c>
      <c r="L5" t="s">
        <v>7</v>
      </c>
      <c r="M5" t="s">
        <v>8</v>
      </c>
      <c r="N5" t="s">
        <v>9</v>
      </c>
      <c r="R5" t="s">
        <v>11</v>
      </c>
      <c r="S5" t="s">
        <v>5</v>
      </c>
      <c r="T5" t="s">
        <v>6</v>
      </c>
      <c r="U5" t="s">
        <v>7</v>
      </c>
      <c r="V5" t="s">
        <v>8</v>
      </c>
      <c r="W5" t="s">
        <v>9</v>
      </c>
    </row>
    <row r="6" spans="1:23" x14ac:dyDescent="0.2">
      <c r="A6">
        <v>0</v>
      </c>
      <c r="B6">
        <v>0</v>
      </c>
      <c r="C6">
        <v>0</v>
      </c>
      <c r="D6">
        <v>0</v>
      </c>
      <c r="E6">
        <f>AVERAGE(B6:D6)</f>
        <v>0</v>
      </c>
      <c r="F6">
        <f>STDEV(B6:D6)</f>
        <v>0</v>
      </c>
      <c r="I6">
        <v>0</v>
      </c>
      <c r="J6">
        <v>0</v>
      </c>
      <c r="K6">
        <v>0</v>
      </c>
      <c r="L6">
        <v>0</v>
      </c>
      <c r="M6">
        <f>AVERAGE(J6:L6)</f>
        <v>0</v>
      </c>
      <c r="N6">
        <f>STDEV(J6:L6)</f>
        <v>0</v>
      </c>
      <c r="R6">
        <v>0</v>
      </c>
      <c r="S6">
        <v>0</v>
      </c>
      <c r="T6">
        <v>0</v>
      </c>
      <c r="U6">
        <v>0</v>
      </c>
      <c r="V6">
        <f>AVERAGE(S6:U6)</f>
        <v>0</v>
      </c>
      <c r="W6">
        <f>STDEV(S6:U6)</f>
        <v>0</v>
      </c>
    </row>
    <row r="7" spans="1:23" x14ac:dyDescent="0.2">
      <c r="A7">
        <v>125</v>
      </c>
      <c r="B7">
        <v>-5.5512004601046385</v>
      </c>
      <c r="C7">
        <v>13.718424848120577</v>
      </c>
      <c r="D7">
        <v>2.406582044985015</v>
      </c>
      <c r="E7">
        <f t="shared" ref="E7:E33" si="0">AVERAGE(B7:D7)</f>
        <v>3.524602144333651</v>
      </c>
      <c r="F7">
        <f>STDEV(B7:D7)</f>
        <v>9.683340931040231</v>
      </c>
      <c r="I7">
        <v>62</v>
      </c>
      <c r="J7">
        <v>7.0219924997905423</v>
      </c>
      <c r="K7">
        <v>2.2735211028002453</v>
      </c>
      <c r="L7">
        <v>-3.0045486248899351</v>
      </c>
      <c r="M7">
        <f t="shared" ref="M7:M31" si="1">AVERAGE(J7:L7)</f>
        <v>2.0969883259002842</v>
      </c>
      <c r="N7">
        <f>STDEV(J7:L7)</f>
        <v>5.0156011202264903</v>
      </c>
      <c r="R7">
        <v>125</v>
      </c>
      <c r="S7">
        <v>2.0394619547840307</v>
      </c>
      <c r="T7">
        <v>-0.31119895029630129</v>
      </c>
      <c r="U7">
        <v>-23.301904655237962</v>
      </c>
      <c r="V7">
        <f t="shared" ref="V7:V27" si="2">AVERAGE(S7:U7)</f>
        <v>-7.1912138835834112</v>
      </c>
      <c r="W7">
        <f>STDEV(S7:U7)</f>
        <v>14.001684524641121</v>
      </c>
    </row>
    <row r="8" spans="1:23" x14ac:dyDescent="0.2">
      <c r="A8">
        <v>250</v>
      </c>
      <c r="B8">
        <v>-4.7925277711419625</v>
      </c>
      <c r="C8">
        <v>3.0020941058612323</v>
      </c>
      <c r="D8">
        <v>7.5683593112393623</v>
      </c>
      <c r="E8">
        <f t="shared" si="0"/>
        <v>1.925975215319544</v>
      </c>
      <c r="F8">
        <f>STDEV(B8:D8)</f>
        <v>6.2503124934502985</v>
      </c>
      <c r="I8">
        <v>125</v>
      </c>
      <c r="J8">
        <v>2.398997372590685</v>
      </c>
      <c r="K8">
        <v>10.34299402595569</v>
      </c>
      <c r="L8">
        <v>-2.0556176754364515</v>
      </c>
      <c r="M8">
        <f t="shared" si="1"/>
        <v>3.5621245743699745</v>
      </c>
      <c r="N8">
        <f>STDEV(J8:L8)</f>
        <v>6.2806083858264659</v>
      </c>
      <c r="R8">
        <v>250</v>
      </c>
      <c r="S8">
        <v>8.9825935965487815</v>
      </c>
      <c r="T8">
        <v>0.1493383934357837</v>
      </c>
      <c r="U8">
        <v>-3.4706732915835659</v>
      </c>
      <c r="V8">
        <f t="shared" si="2"/>
        <v>1.8870862328003331</v>
      </c>
      <c r="W8">
        <f>STDEV(S8:U8)</f>
        <v>6.4059183347647748</v>
      </c>
    </row>
    <row r="9" spans="1:23" x14ac:dyDescent="0.2">
      <c r="A9">
        <v>500</v>
      </c>
      <c r="B9">
        <v>5.4428375090903813</v>
      </c>
      <c r="C9">
        <v>5.3364282931210312</v>
      </c>
      <c r="D9">
        <v>10.268680050227772</v>
      </c>
      <c r="E9">
        <f t="shared" si="0"/>
        <v>7.0159819508130612</v>
      </c>
      <c r="F9">
        <f>STDEV(B9:D9)</f>
        <v>2.8174215915909442</v>
      </c>
      <c r="I9">
        <v>250</v>
      </c>
      <c r="J9">
        <v>1.1405931843326158</v>
      </c>
      <c r="K9">
        <v>20.846265634133673</v>
      </c>
      <c r="L9">
        <v>19.479055369060319</v>
      </c>
      <c r="M9">
        <f t="shared" si="1"/>
        <v>13.821971395842203</v>
      </c>
      <c r="N9">
        <f>STDEV(J9:L9)</f>
        <v>11.003650802562895</v>
      </c>
      <c r="R9">
        <v>500</v>
      </c>
      <c r="S9">
        <v>17.229903704660501</v>
      </c>
      <c r="T9">
        <v>-0.45642007911393989</v>
      </c>
      <c r="U9">
        <v>2.9234170186969948</v>
      </c>
      <c r="V9">
        <f t="shared" si="2"/>
        <v>6.5656335480811849</v>
      </c>
      <c r="W9">
        <f>STDEV(S9:U9)</f>
        <v>9.3888667144291666</v>
      </c>
    </row>
    <row r="10" spans="1:23" x14ac:dyDescent="0.2">
      <c r="I10">
        <v>500</v>
      </c>
      <c r="J10">
        <v>2.5808469781279797</v>
      </c>
      <c r="K10">
        <v>13.283867094254518</v>
      </c>
      <c r="L10">
        <v>12.47799379028001</v>
      </c>
      <c r="M10">
        <f t="shared" si="1"/>
        <v>9.4475692875541686</v>
      </c>
      <c r="N10">
        <f>STDEV(J10:L10)</f>
        <v>5.9603912960134791</v>
      </c>
    </row>
    <row r="11" spans="1:23" x14ac:dyDescent="0.2">
      <c r="A11" t="s">
        <v>12</v>
      </c>
      <c r="R11" t="s">
        <v>13</v>
      </c>
    </row>
    <row r="12" spans="1:23" x14ac:dyDescent="0.2">
      <c r="A12">
        <v>0</v>
      </c>
      <c r="B12">
        <v>0</v>
      </c>
      <c r="C12">
        <v>0</v>
      </c>
      <c r="D12">
        <v>0</v>
      </c>
      <c r="E12">
        <f t="shared" si="0"/>
        <v>0</v>
      </c>
      <c r="F12">
        <f>STDEV(B12:D12)</f>
        <v>0</v>
      </c>
      <c r="I12" t="s">
        <v>14</v>
      </c>
      <c r="R12">
        <v>0</v>
      </c>
      <c r="S12">
        <v>0</v>
      </c>
      <c r="T12">
        <v>0</v>
      </c>
      <c r="U12">
        <v>0</v>
      </c>
      <c r="V12">
        <f t="shared" si="2"/>
        <v>0</v>
      </c>
      <c r="W12">
        <f>STDEV(S12:U12)</f>
        <v>0</v>
      </c>
    </row>
    <row r="13" spans="1:23" x14ac:dyDescent="0.2">
      <c r="A13">
        <v>125</v>
      </c>
      <c r="B13">
        <v>16.043763676858219</v>
      </c>
      <c r="C13">
        <v>2.9214246537947304</v>
      </c>
      <c r="D13">
        <v>-6.5560151774110267</v>
      </c>
      <c r="E13">
        <f t="shared" si="0"/>
        <v>4.1363910510806408</v>
      </c>
      <c r="F13">
        <f>STDEV(B13:D13)</f>
        <v>11.348771236366042</v>
      </c>
      <c r="I13">
        <v>0</v>
      </c>
      <c r="J13">
        <v>0</v>
      </c>
      <c r="K13">
        <v>0</v>
      </c>
      <c r="L13">
        <v>0</v>
      </c>
      <c r="M13">
        <f t="shared" si="1"/>
        <v>0</v>
      </c>
      <c r="N13">
        <f>STDEV(J13:L13)</f>
        <v>0</v>
      </c>
      <c r="R13">
        <v>125</v>
      </c>
      <c r="S13">
        <v>40.560070286916975</v>
      </c>
      <c r="T13">
        <v>40.051078596899174</v>
      </c>
      <c r="U13">
        <v>28.197993348525188</v>
      </c>
      <c r="V13">
        <f t="shared" si="2"/>
        <v>36.269714077447112</v>
      </c>
      <c r="W13">
        <f>STDEV(S13:U13)</f>
        <v>6.9949463743053277</v>
      </c>
    </row>
    <row r="14" spans="1:23" x14ac:dyDescent="0.2">
      <c r="A14">
        <v>250</v>
      </c>
      <c r="B14">
        <v>0.77513982724617847</v>
      </c>
      <c r="C14">
        <v>10.716407539548797</v>
      </c>
      <c r="D14">
        <v>-2.6201236239300414</v>
      </c>
      <c r="E14">
        <f t="shared" si="0"/>
        <v>2.9571412476216445</v>
      </c>
      <c r="F14">
        <f>STDEV(B14:D14)</f>
        <v>6.9308450796061631</v>
      </c>
      <c r="I14">
        <v>62</v>
      </c>
      <c r="J14">
        <v>20.039876849084933</v>
      </c>
      <c r="K14">
        <v>18.86611141791758</v>
      </c>
      <c r="L14">
        <v>51.542999409832234</v>
      </c>
      <c r="M14">
        <f t="shared" si="1"/>
        <v>30.149662558944915</v>
      </c>
      <c r="N14">
        <f>STDEV(J14:L14)</f>
        <v>18.536466155486618</v>
      </c>
      <c r="R14">
        <v>250</v>
      </c>
      <c r="S14">
        <v>85.096658331004846</v>
      </c>
      <c r="T14">
        <v>84.327909720384838</v>
      </c>
      <c r="U14">
        <v>73.255801084026032</v>
      </c>
      <c r="V14">
        <f t="shared" si="2"/>
        <v>80.89345637847191</v>
      </c>
      <c r="W14">
        <f>STDEV(S14:U14)</f>
        <v>6.6255624217243136</v>
      </c>
    </row>
    <row r="15" spans="1:23" x14ac:dyDescent="0.2">
      <c r="A15">
        <v>500</v>
      </c>
      <c r="B15">
        <v>6.0792340481198579</v>
      </c>
      <c r="C15">
        <v>11.727059265377918</v>
      </c>
      <c r="D15">
        <v>8.3888423056851593</v>
      </c>
      <c r="E15">
        <f t="shared" si="0"/>
        <v>8.7317118730609788</v>
      </c>
      <c r="F15">
        <f>STDEV(B15:D15)</f>
        <v>2.839480951925613</v>
      </c>
      <c r="I15">
        <v>125</v>
      </c>
      <c r="J15">
        <v>59.995704212500286</v>
      </c>
      <c r="K15">
        <v>50.21265008753776</v>
      </c>
      <c r="L15">
        <v>63.437004858376618</v>
      </c>
      <c r="M15">
        <f t="shared" si="1"/>
        <v>57.881786386138224</v>
      </c>
      <c r="N15">
        <f>STDEV(J15:L15)</f>
        <v>6.8609311473524208</v>
      </c>
      <c r="R15">
        <v>500</v>
      </c>
      <c r="S15">
        <v>86.478355840960404</v>
      </c>
      <c r="T15">
        <v>89.108545458072953</v>
      </c>
      <c r="U15">
        <v>92.248639315853694</v>
      </c>
      <c r="V15">
        <f t="shared" si="2"/>
        <v>89.27851353829567</v>
      </c>
      <c r="W15">
        <f>STDEV(S15:U15)</f>
        <v>2.8888942013126053</v>
      </c>
    </row>
    <row r="16" spans="1:23" x14ac:dyDescent="0.2">
      <c r="I16">
        <v>250</v>
      </c>
      <c r="J16">
        <v>87.71003922534635</v>
      </c>
      <c r="K16">
        <v>72.428318401423084</v>
      </c>
      <c r="L16">
        <v>82.234774073087891</v>
      </c>
      <c r="M16">
        <f t="shared" si="1"/>
        <v>80.791043899952442</v>
      </c>
      <c r="N16">
        <f>STDEV(J16:L16)</f>
        <v>7.7424812201708813</v>
      </c>
    </row>
    <row r="17" spans="1:23" x14ac:dyDescent="0.2">
      <c r="A17" t="s">
        <v>15</v>
      </c>
      <c r="I17">
        <v>500</v>
      </c>
      <c r="J17">
        <v>93.775126038555442</v>
      </c>
      <c r="K17">
        <v>90.776232846864858</v>
      </c>
      <c r="L17">
        <v>90.612094445937942</v>
      </c>
      <c r="M17">
        <f t="shared" si="1"/>
        <v>91.721151110452752</v>
      </c>
      <c r="N17">
        <f>STDEV(J17:L17)</f>
        <v>1.7806866955252303</v>
      </c>
      <c r="R17" t="s">
        <v>16</v>
      </c>
    </row>
    <row r="18" spans="1:23" x14ac:dyDescent="0.2">
      <c r="A18">
        <v>0</v>
      </c>
      <c r="B18">
        <v>0</v>
      </c>
      <c r="C18">
        <v>0</v>
      </c>
      <c r="D18">
        <v>0</v>
      </c>
      <c r="E18">
        <f t="shared" si="0"/>
        <v>0</v>
      </c>
      <c r="F18">
        <f>STDEV(B18:D18)</f>
        <v>0</v>
      </c>
      <c r="R18">
        <v>0</v>
      </c>
      <c r="S18">
        <v>0</v>
      </c>
      <c r="T18">
        <v>0</v>
      </c>
      <c r="U18">
        <v>0</v>
      </c>
      <c r="V18">
        <f t="shared" si="2"/>
        <v>0</v>
      </c>
      <c r="W18">
        <f>STDEV(S18:U18)</f>
        <v>0</v>
      </c>
    </row>
    <row r="19" spans="1:23" x14ac:dyDescent="0.2">
      <c r="A19">
        <v>125</v>
      </c>
      <c r="B19">
        <v>-8.7458391742770658</v>
      </c>
      <c r="C19">
        <v>3.6937300507417632</v>
      </c>
      <c r="D19">
        <v>18.783709643302444</v>
      </c>
      <c r="E19">
        <f t="shared" si="0"/>
        <v>4.5772001732557142</v>
      </c>
      <c r="F19">
        <f>STDEV(B19:D19)</f>
        <v>13.786022055615044</v>
      </c>
      <c r="I19" t="s">
        <v>17</v>
      </c>
      <c r="R19">
        <v>125</v>
      </c>
      <c r="S19">
        <v>-1.2386674076336845</v>
      </c>
      <c r="T19">
        <v>-6.9421824434367636</v>
      </c>
      <c r="U19">
        <v>11.20517673613891</v>
      </c>
      <c r="V19">
        <f t="shared" si="2"/>
        <v>1.0081089616894872</v>
      </c>
      <c r="W19">
        <f>STDEV(S19:U19)</f>
        <v>9.2799603629780734</v>
      </c>
    </row>
    <row r="20" spans="1:23" x14ac:dyDescent="0.2">
      <c r="A20">
        <v>250</v>
      </c>
      <c r="B20">
        <v>6.5025282668277669</v>
      </c>
      <c r="C20">
        <v>14.025353198703669</v>
      </c>
      <c r="D20">
        <v>19.951227492113105</v>
      </c>
      <c r="E20">
        <f t="shared" si="0"/>
        <v>13.493036319214847</v>
      </c>
      <c r="F20">
        <f>STDEV(B20:D20)</f>
        <v>6.7401334302956606</v>
      </c>
      <c r="I20">
        <v>0</v>
      </c>
      <c r="J20">
        <v>0</v>
      </c>
      <c r="K20">
        <v>0</v>
      </c>
      <c r="L20">
        <v>0</v>
      </c>
      <c r="M20">
        <f t="shared" si="1"/>
        <v>0</v>
      </c>
      <c r="N20">
        <f>STDEV(J20:L20)</f>
        <v>0</v>
      </c>
      <c r="R20">
        <v>250</v>
      </c>
      <c r="S20">
        <v>-6.1300208005915806</v>
      </c>
      <c r="T20">
        <v>-11.346467323492305</v>
      </c>
      <c r="U20">
        <v>12.541488310654614</v>
      </c>
      <c r="V20">
        <f t="shared" si="2"/>
        <v>-1.6449999378097573</v>
      </c>
      <c r="W20">
        <f>STDEV(S20:U20)</f>
        <v>12.55966421523418</v>
      </c>
    </row>
    <row r="21" spans="1:23" x14ac:dyDescent="0.2">
      <c r="A21">
        <v>500</v>
      </c>
      <c r="B21">
        <v>-1.54084359671198</v>
      </c>
      <c r="C21">
        <v>3.6937300507417632</v>
      </c>
      <c r="D21">
        <v>13.718424848120577</v>
      </c>
      <c r="E21">
        <f t="shared" si="0"/>
        <v>5.2904371007167867</v>
      </c>
      <c r="F21">
        <f>STDEV(B21:D21)</f>
        <v>7.7539295470390766</v>
      </c>
      <c r="I21">
        <v>62</v>
      </c>
      <c r="J21">
        <v>-9.5818309435692584</v>
      </c>
      <c r="K21">
        <v>29.145121843398442</v>
      </c>
      <c r="L21">
        <v>2.5913834730359326</v>
      </c>
      <c r="M21">
        <f t="shared" si="1"/>
        <v>7.3848914576217055</v>
      </c>
      <c r="N21">
        <f>STDEV(J21:L21)</f>
        <v>19.803472098087294</v>
      </c>
      <c r="R21">
        <v>500</v>
      </c>
      <c r="S21">
        <v>-4.7391692448960754</v>
      </c>
      <c r="T21">
        <v>9.5659804898246392</v>
      </c>
      <c r="U21">
        <v>-6.6361590561696744</v>
      </c>
      <c r="V21">
        <f t="shared" si="2"/>
        <v>-0.60311593708037015</v>
      </c>
      <c r="W21">
        <f>STDEV(S21:U21)</f>
        <v>8.8576257648868939</v>
      </c>
    </row>
    <row r="22" spans="1:23" x14ac:dyDescent="0.2">
      <c r="I22">
        <v>125</v>
      </c>
      <c r="J22">
        <v>-7.782870161079245</v>
      </c>
      <c r="K22">
        <v>18.443491426016251</v>
      </c>
      <c r="L22">
        <v>16.561187361553081</v>
      </c>
      <c r="M22">
        <f t="shared" si="1"/>
        <v>9.0739362088300286</v>
      </c>
      <c r="N22">
        <f>STDEV(J22:L22)</f>
        <v>14.628728854286488</v>
      </c>
    </row>
    <row r="23" spans="1:23" x14ac:dyDescent="0.2">
      <c r="A23" t="s">
        <v>18</v>
      </c>
      <c r="I23">
        <v>250</v>
      </c>
      <c r="J23">
        <v>15.301650483756887</v>
      </c>
      <c r="K23">
        <v>30.381664396282659</v>
      </c>
      <c r="L23">
        <v>32.551826605303077</v>
      </c>
      <c r="M23">
        <f t="shared" si="1"/>
        <v>26.078380495114207</v>
      </c>
      <c r="N23">
        <f>STDEV(J23:L23)</f>
        <v>9.3957880620324872</v>
      </c>
      <c r="R23" t="s">
        <v>19</v>
      </c>
    </row>
    <row r="24" spans="1:23" x14ac:dyDescent="0.2">
      <c r="A24">
        <v>0</v>
      </c>
      <c r="B24">
        <v>0</v>
      </c>
      <c r="C24">
        <v>0</v>
      </c>
      <c r="D24">
        <v>0</v>
      </c>
      <c r="E24">
        <f t="shared" si="0"/>
        <v>0</v>
      </c>
      <c r="F24">
        <f>STDEV(B24:D24)</f>
        <v>0</v>
      </c>
      <c r="I24">
        <v>500</v>
      </c>
      <c r="J24">
        <v>35.539300245068873</v>
      </c>
      <c r="K24">
        <v>43.665961481767525</v>
      </c>
      <c r="L24">
        <v>44.017209982990494</v>
      </c>
      <c r="M24">
        <f t="shared" si="1"/>
        <v>41.074157236608961</v>
      </c>
      <c r="N24">
        <f>STDEV(J24:L24)</f>
        <v>4.796543058808397</v>
      </c>
      <c r="R24">
        <v>0</v>
      </c>
      <c r="S24">
        <v>0</v>
      </c>
      <c r="T24">
        <v>0</v>
      </c>
      <c r="U24">
        <v>0</v>
      </c>
      <c r="V24">
        <f t="shared" si="2"/>
        <v>0</v>
      </c>
      <c r="W24">
        <f>STDEV(S24:U24)</f>
        <v>0</v>
      </c>
    </row>
    <row r="25" spans="1:23" x14ac:dyDescent="0.2">
      <c r="A25">
        <v>125</v>
      </c>
      <c r="B25">
        <v>12.059809895931693</v>
      </c>
      <c r="C25">
        <v>16.58489500875298</v>
      </c>
      <c r="D25">
        <v>14.341445743303524</v>
      </c>
      <c r="E25">
        <f t="shared" si="0"/>
        <v>14.328716882662732</v>
      </c>
      <c r="F25">
        <f>STDEV(B25:D25)</f>
        <v>2.2625694105350851</v>
      </c>
      <c r="R25">
        <v>125</v>
      </c>
      <c r="S25">
        <v>71.632083194546041</v>
      </c>
      <c r="T25">
        <v>69.913621283228181</v>
      </c>
      <c r="U25">
        <v>82.237596486844851</v>
      </c>
      <c r="V25">
        <f t="shared" si="2"/>
        <v>74.594433654873015</v>
      </c>
      <c r="W25">
        <f>STDEV(S25:U25)</f>
        <v>6.6747083376121568</v>
      </c>
    </row>
    <row r="26" spans="1:23" x14ac:dyDescent="0.2">
      <c r="A26">
        <v>250</v>
      </c>
      <c r="B26">
        <v>45.250467251150283</v>
      </c>
      <c r="C26">
        <v>36.802128615687451</v>
      </c>
      <c r="D26">
        <v>30.757487582193164</v>
      </c>
      <c r="E26">
        <f t="shared" si="0"/>
        <v>37.603361149676964</v>
      </c>
      <c r="F26">
        <f>STDEV(B26:D26)</f>
        <v>7.2796356434469605</v>
      </c>
      <c r="I26" t="s">
        <v>20</v>
      </c>
      <c r="R26">
        <v>250</v>
      </c>
      <c r="S26">
        <v>94.974275708850513</v>
      </c>
      <c r="T26">
        <v>91.712157425702983</v>
      </c>
      <c r="U26">
        <v>93.299216127725231</v>
      </c>
      <c r="V26">
        <f t="shared" si="2"/>
        <v>93.328549754092919</v>
      </c>
      <c r="W26">
        <f>STDEV(S26:U26)</f>
        <v>1.6312569599968778</v>
      </c>
    </row>
    <row r="27" spans="1:23" x14ac:dyDescent="0.2">
      <c r="A27">
        <v>500</v>
      </c>
      <c r="B27">
        <v>69.521471519363644</v>
      </c>
      <c r="C27">
        <v>59.633101998196572</v>
      </c>
      <c r="D27">
        <v>42.527887148964183</v>
      </c>
      <c r="E27">
        <f t="shared" si="0"/>
        <v>57.227486888841462</v>
      </c>
      <c r="F27">
        <f>STDEV(B27:D27)</f>
        <v>13.656633455256744</v>
      </c>
      <c r="I27">
        <v>0</v>
      </c>
      <c r="J27">
        <v>0</v>
      </c>
      <c r="K27">
        <v>0</v>
      </c>
      <c r="L27">
        <v>0</v>
      </c>
      <c r="M27">
        <f t="shared" si="1"/>
        <v>0</v>
      </c>
      <c r="N27">
        <f>STDEV(J27:L27)</f>
        <v>0</v>
      </c>
      <c r="R27">
        <v>500</v>
      </c>
      <c r="S27">
        <v>94.783150883829592</v>
      </c>
      <c r="T27">
        <v>90.342374699023821</v>
      </c>
      <c r="U27">
        <v>97.381995734881428</v>
      </c>
      <c r="V27">
        <f t="shared" si="2"/>
        <v>94.169173772578276</v>
      </c>
      <c r="W27">
        <f>STDEV(S27:U27)</f>
        <v>3.5597460586364318</v>
      </c>
    </row>
    <row r="28" spans="1:23" x14ac:dyDescent="0.2">
      <c r="I28">
        <v>62</v>
      </c>
      <c r="J28">
        <v>66.160365663723866</v>
      </c>
      <c r="K28">
        <v>16.989259511182894</v>
      </c>
      <c r="L28">
        <v>9.43986853635937</v>
      </c>
      <c r="M28">
        <f t="shared" si="1"/>
        <v>30.863164570422043</v>
      </c>
      <c r="N28">
        <f>STDEV(J28:L28)</f>
        <v>30.800448532260493</v>
      </c>
    </row>
    <row r="29" spans="1:23" x14ac:dyDescent="0.2">
      <c r="A29" t="s">
        <v>21</v>
      </c>
      <c r="I29">
        <v>125</v>
      </c>
      <c r="J29">
        <v>82.600022113254795</v>
      </c>
      <c r="K29">
        <v>38.043603144569261</v>
      </c>
      <c r="L29">
        <v>48.848755144778238</v>
      </c>
      <c r="M29">
        <f t="shared" si="1"/>
        <v>56.497460134200765</v>
      </c>
      <c r="N29">
        <f>STDEV(J29:L29)</f>
        <v>23.242109066082435</v>
      </c>
      <c r="R29" t="s">
        <v>22</v>
      </c>
      <c r="S29" t="s">
        <v>5</v>
      </c>
      <c r="T29" t="s">
        <v>6</v>
      </c>
      <c r="U29" t="s">
        <v>7</v>
      </c>
      <c r="V29" t="s">
        <v>8</v>
      </c>
      <c r="W29" t="s">
        <v>9</v>
      </c>
    </row>
    <row r="30" spans="1:23" x14ac:dyDescent="0.2">
      <c r="A30">
        <v>0</v>
      </c>
      <c r="B30">
        <v>0</v>
      </c>
      <c r="C30">
        <v>0</v>
      </c>
      <c r="D30">
        <v>0</v>
      </c>
      <c r="E30">
        <f t="shared" si="0"/>
        <v>0</v>
      </c>
      <c r="F30">
        <f>STDEV(B30:D30)</f>
        <v>0</v>
      </c>
      <c r="I30">
        <v>250</v>
      </c>
      <c r="J30">
        <v>93.115885068860322</v>
      </c>
      <c r="K30">
        <v>81.669181008284937</v>
      </c>
      <c r="L30">
        <v>92.036063890147872</v>
      </c>
      <c r="M30">
        <f t="shared" si="1"/>
        <v>88.940376655764382</v>
      </c>
      <c r="N30">
        <f>STDEV(J30:L30)</f>
        <v>6.3201438316261402</v>
      </c>
      <c r="R30">
        <v>0</v>
      </c>
      <c r="S30">
        <v>0</v>
      </c>
      <c r="T30">
        <v>0</v>
      </c>
      <c r="U30">
        <v>0</v>
      </c>
      <c r="V30">
        <f>AVERAGE(S30:U30)</f>
        <v>0</v>
      </c>
      <c r="W30">
        <f>STDEV(S30:U30)</f>
        <v>0</v>
      </c>
    </row>
    <row r="31" spans="1:23" x14ac:dyDescent="0.2">
      <c r="A31">
        <v>125</v>
      </c>
      <c r="B31">
        <v>-5.5319736621586344</v>
      </c>
      <c r="C31">
        <v>16.842144570683047</v>
      </c>
      <c r="D31">
        <v>27.143671892206726</v>
      </c>
      <c r="E31">
        <f t="shared" si="0"/>
        <v>12.817947600243713</v>
      </c>
      <c r="F31">
        <f>STDEV(B31:D31)</f>
        <v>16.705390568355444</v>
      </c>
      <c r="I31">
        <v>500</v>
      </c>
      <c r="J31">
        <v>95.257131737118911</v>
      </c>
      <c r="K31">
        <v>92.331047262982821</v>
      </c>
      <c r="L31">
        <v>94.007220202196791</v>
      </c>
      <c r="M31">
        <f t="shared" si="1"/>
        <v>93.865133067432836</v>
      </c>
      <c r="N31">
        <f>STDEV(J31:L31)</f>
        <v>1.4682078030184083</v>
      </c>
      <c r="R31">
        <v>125</v>
      </c>
      <c r="S31">
        <v>1.4201282509671884</v>
      </c>
      <c r="T31">
        <v>-3.7822901720146831</v>
      </c>
      <c r="U31">
        <v>-17.699316287168507</v>
      </c>
      <c r="V31">
        <v>-6.6871594027386676</v>
      </c>
      <c r="W31">
        <v>18.641664706130157</v>
      </c>
    </row>
    <row r="32" spans="1:23" x14ac:dyDescent="0.2">
      <c r="A32">
        <v>250</v>
      </c>
      <c r="B32">
        <v>40.383786870791916</v>
      </c>
      <c r="C32">
        <v>60.621385435998278</v>
      </c>
      <c r="D32">
        <v>38.604397370387609</v>
      </c>
      <c r="E32">
        <f t="shared" si="0"/>
        <v>46.536523225725936</v>
      </c>
      <c r="F32">
        <f>STDEV(B32:D32)</f>
        <v>12.230252015404503</v>
      </c>
      <c r="R32">
        <v>250</v>
      </c>
      <c r="S32">
        <v>5.9175831962529912</v>
      </c>
      <c r="T32">
        <v>-5.523895268310369</v>
      </c>
      <c r="U32">
        <v>2.8000708637437413</v>
      </c>
      <c r="V32">
        <v>1.0645862638954544</v>
      </c>
      <c r="W32">
        <v>12.685750442381865</v>
      </c>
    </row>
    <row r="33" spans="1:23" x14ac:dyDescent="0.2">
      <c r="A33">
        <v>500</v>
      </c>
      <c r="B33">
        <v>65.652917237459548</v>
      </c>
      <c r="C33">
        <v>82.198584943927386</v>
      </c>
      <c r="D33">
        <v>61.973314655135582</v>
      </c>
      <c r="E33">
        <f t="shared" si="0"/>
        <v>69.941605612174172</v>
      </c>
      <c r="F33">
        <f>STDEV(B33:D33)</f>
        <v>10.773115869850663</v>
      </c>
      <c r="R33">
        <v>500</v>
      </c>
      <c r="S33">
        <v>14.860319082212463</v>
      </c>
      <c r="T33">
        <v>4.3265701657983797</v>
      </c>
      <c r="U33">
        <v>-0.39466250938784242</v>
      </c>
      <c r="V33">
        <v>6.2640755795410001</v>
      </c>
      <c r="W33">
        <v>13.817679596872614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ADD6-4ECD-6A44-B923-FC8B3D70E857}">
  <dimension ref="A3:V27"/>
  <sheetViews>
    <sheetView workbookViewId="0">
      <selection activeCell="O2" sqref="O2:AB23"/>
    </sheetView>
  </sheetViews>
  <sheetFormatPr baseColWidth="10" defaultRowHeight="16" x14ac:dyDescent="0.2"/>
  <sheetData>
    <row r="3" spans="1:22" x14ac:dyDescent="0.2">
      <c r="A3" s="1" t="s">
        <v>30</v>
      </c>
      <c r="H3" s="1" t="s">
        <v>31</v>
      </c>
      <c r="O3" s="1"/>
      <c r="V3" s="1"/>
    </row>
    <row r="5" spans="1:22" x14ac:dyDescent="0.2">
      <c r="A5" t="s">
        <v>34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H5" t="s">
        <v>35</v>
      </c>
      <c r="I5" t="s">
        <v>5</v>
      </c>
      <c r="J5" t="s">
        <v>6</v>
      </c>
      <c r="K5" t="s">
        <v>7</v>
      </c>
      <c r="L5" t="s">
        <v>8</v>
      </c>
      <c r="M5" t="s">
        <v>9</v>
      </c>
    </row>
    <row r="6" spans="1:22" x14ac:dyDescent="0.2">
      <c r="A6">
        <v>0</v>
      </c>
      <c r="B6">
        <v>0</v>
      </c>
      <c r="C6">
        <v>0</v>
      </c>
      <c r="D6">
        <v>0</v>
      </c>
      <c r="E6">
        <f>AVERAGE(B6:D6)</f>
        <v>0</v>
      </c>
      <c r="F6">
        <f>STDEV(B6:D6)</f>
        <v>0</v>
      </c>
      <c r="H6">
        <v>0</v>
      </c>
      <c r="I6">
        <v>0</v>
      </c>
      <c r="J6">
        <v>0</v>
      </c>
      <c r="K6">
        <v>0</v>
      </c>
      <c r="L6">
        <f>AVERAGE(I6:K6)</f>
        <v>0</v>
      </c>
      <c r="M6">
        <f t="shared" ref="M6:M11" si="0">STDEV(I6:K6)</f>
        <v>0</v>
      </c>
    </row>
    <row r="7" spans="1:22" x14ac:dyDescent="0.2">
      <c r="A7">
        <v>62</v>
      </c>
      <c r="B7">
        <v>15.301386932223934</v>
      </c>
      <c r="C7">
        <v>8.6235406019853684</v>
      </c>
      <c r="D7">
        <v>21.465819503679356</v>
      </c>
      <c r="E7">
        <f t="shared" ref="E7:E24" si="1">AVERAGE(B7:D7)</f>
        <v>15.130249012629553</v>
      </c>
      <c r="F7">
        <f>STDEV(B7:D7)</f>
        <v>6.422849678130877</v>
      </c>
      <c r="H7">
        <v>30</v>
      </c>
      <c r="I7">
        <v>-3.3689573495580589</v>
      </c>
      <c r="J7">
        <v>4.9379113117413169</v>
      </c>
      <c r="K7">
        <v>3.5705031150925919</v>
      </c>
      <c r="L7">
        <f t="shared" ref="L7:L27" si="2">AVERAGE(I7:K7)</f>
        <v>1.71315235909195</v>
      </c>
      <c r="M7">
        <f t="shared" si="0"/>
        <v>4.4540240920016965</v>
      </c>
    </row>
    <row r="8" spans="1:22" x14ac:dyDescent="0.2">
      <c r="A8">
        <v>125</v>
      </c>
      <c r="B8">
        <v>53.693683971016853</v>
      </c>
      <c r="C8">
        <v>34.808713976468823</v>
      </c>
      <c r="D8">
        <v>65.571556180183791</v>
      </c>
      <c r="E8">
        <f t="shared" si="1"/>
        <v>51.35798470922316</v>
      </c>
      <c r="F8">
        <f>STDEV(B8:D8)</f>
        <v>15.513856174201933</v>
      </c>
      <c r="H8">
        <v>62</v>
      </c>
      <c r="I8">
        <v>-11.312280542438543</v>
      </c>
      <c r="J8">
        <v>6.9567799076921233E-2</v>
      </c>
      <c r="K8">
        <v>4.1153088142323071</v>
      </c>
      <c r="L8">
        <f t="shared" si="2"/>
        <v>-2.3758013097097717</v>
      </c>
      <c r="M8">
        <f t="shared" si="0"/>
        <v>7.9992187679905404</v>
      </c>
    </row>
    <row r="9" spans="1:22" x14ac:dyDescent="0.2">
      <c r="A9">
        <v>250</v>
      </c>
      <c r="B9">
        <v>77.862152644263375</v>
      </c>
      <c r="C9">
        <v>84.790776473204318</v>
      </c>
      <c r="D9">
        <v>92.348693893564956</v>
      </c>
      <c r="E9">
        <f t="shared" si="1"/>
        <v>85.000541003677554</v>
      </c>
      <c r="F9">
        <f>STDEV(B9:D9)</f>
        <v>7.2455483029659353</v>
      </c>
      <c r="H9">
        <v>125</v>
      </c>
      <c r="I9">
        <v>-3.0344317142242261</v>
      </c>
      <c r="J9">
        <v>6.3133540885535666</v>
      </c>
      <c r="K9">
        <v>0.32025898330272184</v>
      </c>
      <c r="L9">
        <f t="shared" si="2"/>
        <v>1.1997271192106875</v>
      </c>
      <c r="M9">
        <f t="shared" si="0"/>
        <v>4.7355435807530677</v>
      </c>
    </row>
    <row r="10" spans="1:22" x14ac:dyDescent="0.2">
      <c r="A10">
        <v>500</v>
      </c>
      <c r="B10">
        <v>86.828177979144613</v>
      </c>
      <c r="C10">
        <v>95.183998006027736</v>
      </c>
      <c r="D10">
        <v>97.078771536159152</v>
      </c>
      <c r="E10">
        <f t="shared" si="1"/>
        <v>93.030315840443834</v>
      </c>
      <c r="F10">
        <f>STDEV(B10:D10)</f>
        <v>5.4541202059124645</v>
      </c>
      <c r="H10">
        <v>250</v>
      </c>
      <c r="I10">
        <v>-9.3319703421183391</v>
      </c>
      <c r="J10">
        <v>11.841132027986262</v>
      </c>
      <c r="K10">
        <v>8.2865648658289643</v>
      </c>
      <c r="L10">
        <f t="shared" si="2"/>
        <v>3.598575517232296</v>
      </c>
      <c r="M10">
        <f t="shared" si="0"/>
        <v>11.338341990482963</v>
      </c>
    </row>
    <row r="11" spans="1:22" x14ac:dyDescent="0.2">
      <c r="H11">
        <v>500</v>
      </c>
      <c r="I11">
        <v>7.2998647939621435</v>
      </c>
      <c r="J11">
        <v>7.159167632541596</v>
      </c>
      <c r="K11">
        <v>7.6396802452500339</v>
      </c>
      <c r="L11">
        <f t="shared" si="2"/>
        <v>7.3662375572512575</v>
      </c>
      <c r="M11">
        <f t="shared" si="0"/>
        <v>0.2470366380174141</v>
      </c>
    </row>
    <row r="12" spans="1:22" x14ac:dyDescent="0.2">
      <c r="A12" t="s">
        <v>40</v>
      </c>
    </row>
    <row r="13" spans="1:22" x14ac:dyDescent="0.2">
      <c r="A13">
        <v>0</v>
      </c>
      <c r="B13">
        <v>0</v>
      </c>
      <c r="C13">
        <v>0</v>
      </c>
      <c r="D13">
        <v>0</v>
      </c>
      <c r="E13">
        <f t="shared" si="1"/>
        <v>0</v>
      </c>
      <c r="F13">
        <f>STDEV(B13:D13)</f>
        <v>0</v>
      </c>
      <c r="H13" t="s">
        <v>41</v>
      </c>
    </row>
    <row r="14" spans="1:22" x14ac:dyDescent="0.2">
      <c r="A14">
        <v>62</v>
      </c>
      <c r="B14">
        <v>15.65426946059776</v>
      </c>
      <c r="C14">
        <v>7.7948086574341602</v>
      </c>
      <c r="D14">
        <v>6.6940768152094563</v>
      </c>
      <c r="E14">
        <f t="shared" si="1"/>
        <v>10.047718311080459</v>
      </c>
      <c r="F14">
        <f>STDEV(B14:D14)</f>
        <v>4.8865084151403222</v>
      </c>
      <c r="H14">
        <v>0</v>
      </c>
      <c r="I14">
        <v>0</v>
      </c>
      <c r="J14">
        <v>0</v>
      </c>
      <c r="K14">
        <v>0</v>
      </c>
      <c r="L14">
        <f t="shared" si="2"/>
        <v>0</v>
      </c>
      <c r="M14">
        <f t="shared" ref="M14:M19" si="3">STDEV(I14:K14)</f>
        <v>0</v>
      </c>
    </row>
    <row r="15" spans="1:22" x14ac:dyDescent="0.2">
      <c r="A15">
        <v>125</v>
      </c>
      <c r="B15">
        <v>13.889345674944792</v>
      </c>
      <c r="C15">
        <v>27.587408604051518</v>
      </c>
      <c r="D15">
        <v>33.674948988562107</v>
      </c>
      <c r="E15">
        <f t="shared" si="1"/>
        <v>25.050567755852807</v>
      </c>
      <c r="F15">
        <f>STDEV(B15:D15)</f>
        <v>10.133814471252835</v>
      </c>
      <c r="H15">
        <v>30</v>
      </c>
      <c r="I15">
        <v>4.5337094679190955</v>
      </c>
      <c r="J15">
        <v>4.3268255198870662</v>
      </c>
      <c r="K15">
        <v>-11.739352822488158</v>
      </c>
      <c r="L15">
        <f t="shared" si="2"/>
        <v>-0.95960594489399875</v>
      </c>
      <c r="M15">
        <f t="shared" si="3"/>
        <v>9.3361077168560502</v>
      </c>
    </row>
    <row r="16" spans="1:22" x14ac:dyDescent="0.2">
      <c r="A16">
        <v>250</v>
      </c>
      <c r="B16">
        <v>88.469357718491167</v>
      </c>
      <c r="C16">
        <v>68.255187499670669</v>
      </c>
      <c r="D16">
        <v>67.2227035438314</v>
      </c>
      <c r="E16">
        <f t="shared" si="1"/>
        <v>74.649082920664412</v>
      </c>
      <c r="F16">
        <f>STDEV(B16:D16)</f>
        <v>11.979837327582903</v>
      </c>
      <c r="H16">
        <v>62</v>
      </c>
      <c r="I16">
        <v>37.251797864493838</v>
      </c>
      <c r="J16">
        <v>8.2694688857275906</v>
      </c>
      <c r="K16">
        <v>7.2443358046406132</v>
      </c>
      <c r="L16">
        <f t="shared" si="2"/>
        <v>17.588534184954014</v>
      </c>
      <c r="M16">
        <f t="shared" si="3"/>
        <v>17.036598203773469</v>
      </c>
    </row>
    <row r="17" spans="1:13" x14ac:dyDescent="0.2">
      <c r="A17">
        <v>500</v>
      </c>
      <c r="B17">
        <v>93.688037621744868</v>
      </c>
      <c r="C17">
        <v>92.945098564356144</v>
      </c>
      <c r="D17">
        <v>92.292567498091302</v>
      </c>
      <c r="E17">
        <f t="shared" si="1"/>
        <v>92.975234561397428</v>
      </c>
      <c r="F17">
        <f>STDEV(B17:D17)</f>
        <v>0.69822299463758719</v>
      </c>
      <c r="H17">
        <v>125</v>
      </c>
      <c r="I17">
        <v>64.200908827013038</v>
      </c>
      <c r="J17">
        <v>50.725255131688698</v>
      </c>
      <c r="K17">
        <v>30.77032312160928</v>
      </c>
      <c r="L17">
        <f t="shared" si="2"/>
        <v>48.565495693437008</v>
      </c>
      <c r="M17">
        <f t="shared" si="3"/>
        <v>16.819614614340136</v>
      </c>
    </row>
    <row r="18" spans="1:13" x14ac:dyDescent="0.2">
      <c r="H18">
        <v>250</v>
      </c>
      <c r="I18">
        <v>91.000336425721741</v>
      </c>
      <c r="J18">
        <v>92.311149099101087</v>
      </c>
      <c r="K18">
        <v>79.517261491595846</v>
      </c>
      <c r="L18">
        <f t="shared" si="2"/>
        <v>87.60958233880622</v>
      </c>
      <c r="M18">
        <f t="shared" si="3"/>
        <v>7.0387356809884363</v>
      </c>
    </row>
    <row r="19" spans="1:13" x14ac:dyDescent="0.2">
      <c r="A19" t="s">
        <v>44</v>
      </c>
      <c r="H19">
        <v>500</v>
      </c>
      <c r="I19">
        <v>95.970569104627813</v>
      </c>
      <c r="J19">
        <v>94.126746176641205</v>
      </c>
      <c r="K19">
        <v>91.430761843394507</v>
      </c>
      <c r="L19">
        <f t="shared" si="2"/>
        <v>93.842692374887847</v>
      </c>
      <c r="M19">
        <f t="shared" si="3"/>
        <v>2.2831945633266932</v>
      </c>
    </row>
    <row r="20" spans="1:13" x14ac:dyDescent="0.2">
      <c r="A20">
        <v>0</v>
      </c>
      <c r="B20">
        <v>0</v>
      </c>
      <c r="C20">
        <v>0</v>
      </c>
      <c r="D20">
        <v>0</v>
      </c>
      <c r="E20">
        <f t="shared" si="1"/>
        <v>0</v>
      </c>
      <c r="F20">
        <f>STDEV(B20:D20)</f>
        <v>0</v>
      </c>
    </row>
    <row r="21" spans="1:13" x14ac:dyDescent="0.2">
      <c r="A21">
        <v>62</v>
      </c>
      <c r="B21">
        <v>-13.559496324166219</v>
      </c>
      <c r="C21">
        <v>2.2765525861568392</v>
      </c>
      <c r="D21">
        <v>-13.559496324166219</v>
      </c>
      <c r="E21">
        <f t="shared" si="1"/>
        <v>-8.280813354058532</v>
      </c>
      <c r="F21">
        <f>STDEV(B21:D21)</f>
        <v>9.1429471012750962</v>
      </c>
      <c r="H21" t="s">
        <v>45</v>
      </c>
    </row>
    <row r="22" spans="1:13" x14ac:dyDescent="0.2">
      <c r="A22">
        <v>125</v>
      </c>
      <c r="B22">
        <v>-0.33191035920776812</v>
      </c>
      <c r="C22">
        <v>16.610152228845365</v>
      </c>
      <c r="D22">
        <v>-0.33191035920776812</v>
      </c>
      <c r="E22">
        <f t="shared" si="1"/>
        <v>5.3154438368099433</v>
      </c>
      <c r="F22">
        <f>STDEV(B22:D22)</f>
        <v>9.7815043958399635</v>
      </c>
      <c r="H22">
        <v>0</v>
      </c>
      <c r="I22">
        <v>0</v>
      </c>
      <c r="J22">
        <v>0</v>
      </c>
      <c r="K22">
        <v>0</v>
      </c>
      <c r="L22">
        <f t="shared" si="2"/>
        <v>0</v>
      </c>
      <c r="M22">
        <f t="shared" ref="M22:M27" si="4">STDEV(I22:K22)</f>
        <v>0</v>
      </c>
    </row>
    <row r="23" spans="1:13" x14ac:dyDescent="0.2">
      <c r="A23">
        <v>250</v>
      </c>
      <c r="B23">
        <v>22.345619731907874</v>
      </c>
      <c r="C23">
        <v>5.5931591806182581</v>
      </c>
      <c r="D23">
        <v>22.345619731907874</v>
      </c>
      <c r="E23">
        <f t="shared" si="1"/>
        <v>16.761466214811335</v>
      </c>
      <c r="F23">
        <f>STDEV(B23:D23)</f>
        <v>9.6720376088756428</v>
      </c>
      <c r="H23">
        <v>30</v>
      </c>
      <c r="I23">
        <v>28.647965329492294</v>
      </c>
      <c r="J23">
        <v>3.4282161913961033</v>
      </c>
      <c r="K23">
        <v>9.8248210895378776</v>
      </c>
      <c r="L23">
        <f t="shared" si="2"/>
        <v>13.967000870142092</v>
      </c>
      <c r="M23">
        <f t="shared" si="4"/>
        <v>13.11019361597153</v>
      </c>
    </row>
    <row r="24" spans="1:13" x14ac:dyDescent="0.2">
      <c r="A24">
        <v>500</v>
      </c>
      <c r="B24">
        <v>40.269356504351151</v>
      </c>
      <c r="C24">
        <v>16.610152228845365</v>
      </c>
      <c r="D24">
        <v>40.269356504351151</v>
      </c>
      <c r="E24">
        <f t="shared" si="1"/>
        <v>32.382955079182558</v>
      </c>
      <c r="F24">
        <f>STDEV(B24:D24)</f>
        <v>13.659647957275613</v>
      </c>
      <c r="H24">
        <v>62</v>
      </c>
      <c r="I24">
        <v>15.064920100377975</v>
      </c>
      <c r="J24">
        <v>-5.6291318819703378</v>
      </c>
      <c r="K24">
        <v>56.604000291077952</v>
      </c>
      <c r="L24">
        <f t="shared" si="2"/>
        <v>22.013262836495198</v>
      </c>
      <c r="M24">
        <f t="shared" si="4"/>
        <v>31.693063674894844</v>
      </c>
    </row>
    <row r="25" spans="1:13" x14ac:dyDescent="0.2">
      <c r="H25">
        <v>125</v>
      </c>
      <c r="I25">
        <v>33.895537397881341</v>
      </c>
      <c r="J25">
        <v>-0.54575043304038218</v>
      </c>
      <c r="K25">
        <v>52.171407683442567</v>
      </c>
      <c r="L25">
        <f t="shared" si="2"/>
        <v>28.507064882761174</v>
      </c>
      <c r="M25">
        <f t="shared" si="4"/>
        <v>26.768478047961938</v>
      </c>
    </row>
    <row r="26" spans="1:13" x14ac:dyDescent="0.2">
      <c r="H26">
        <v>250</v>
      </c>
      <c r="I26">
        <v>46.946275320824476</v>
      </c>
      <c r="J26">
        <v>39.989413864575717</v>
      </c>
      <c r="K26">
        <v>67.835857983292357</v>
      </c>
      <c r="L26">
        <f t="shared" si="2"/>
        <v>51.590515722897521</v>
      </c>
      <c r="M26">
        <f t="shared" si="4"/>
        <v>14.49250976188687</v>
      </c>
    </row>
    <row r="27" spans="1:13" x14ac:dyDescent="0.2">
      <c r="H27">
        <v>500</v>
      </c>
      <c r="I27">
        <v>49.802968002634273</v>
      </c>
      <c r="J27">
        <v>78.193397574027529</v>
      </c>
      <c r="K27">
        <v>68.412786520458283</v>
      </c>
      <c r="L27">
        <f t="shared" si="2"/>
        <v>65.4697173657067</v>
      </c>
      <c r="M27">
        <f t="shared" si="4"/>
        <v>14.422217750723968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7E0D-24BA-0343-A9F7-71C3D7C264A9}">
  <dimension ref="B2:N27"/>
  <sheetViews>
    <sheetView workbookViewId="0">
      <selection activeCell="F29" sqref="F29"/>
    </sheetView>
  </sheetViews>
  <sheetFormatPr baseColWidth="10" defaultRowHeight="16" x14ac:dyDescent="0.2"/>
  <sheetData>
    <row r="2" spans="2:14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">
      <c r="B3" s="3" t="s">
        <v>23</v>
      </c>
      <c r="C3" s="3"/>
      <c r="D3" s="3"/>
      <c r="E3" s="2"/>
      <c r="F3" s="2"/>
      <c r="G3" s="2"/>
      <c r="H3" s="2"/>
      <c r="I3" s="3" t="s">
        <v>24</v>
      </c>
      <c r="J3" s="3"/>
      <c r="K3" s="3"/>
      <c r="L3" s="2"/>
      <c r="M3" s="2"/>
      <c r="N3" s="2"/>
    </row>
    <row r="4" spans="2:14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2">
      <c r="B5" s="2" t="s">
        <v>19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/>
      <c r="I5" s="2" t="s">
        <v>19</v>
      </c>
      <c r="J5" s="2" t="s">
        <v>5</v>
      </c>
      <c r="K5" s="2" t="s">
        <v>6</v>
      </c>
      <c r="L5" s="2" t="s">
        <v>7</v>
      </c>
      <c r="M5" s="2" t="s">
        <v>8</v>
      </c>
      <c r="N5" s="2" t="s">
        <v>9</v>
      </c>
    </row>
    <row r="6" spans="2:14" x14ac:dyDescent="0.2"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/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2:14" x14ac:dyDescent="0.2">
      <c r="B7" s="2">
        <v>250</v>
      </c>
      <c r="C7" s="2">
        <v>94.347784000000004</v>
      </c>
      <c r="D7" s="2">
        <v>91.191481100000004</v>
      </c>
      <c r="E7" s="2">
        <v>83.981598199999993</v>
      </c>
      <c r="F7" s="2">
        <v>89.840287799999999</v>
      </c>
      <c r="G7" s="2">
        <v>5.3135435299999996</v>
      </c>
      <c r="H7" s="2"/>
      <c r="I7" s="2">
        <v>30</v>
      </c>
      <c r="J7" s="2">
        <v>25.2075359</v>
      </c>
      <c r="K7" s="2">
        <v>3.30850036</v>
      </c>
      <c r="L7" s="2">
        <v>3.4269976299999998</v>
      </c>
      <c r="M7" s="2">
        <v>10.647678000000001</v>
      </c>
      <c r="N7" s="2">
        <v>12.6093461</v>
      </c>
    </row>
    <row r="8" spans="2:14" x14ac:dyDescent="0.2">
      <c r="B8" s="2">
        <v>500</v>
      </c>
      <c r="C8" s="2">
        <v>96.225595499999997</v>
      </c>
      <c r="D8" s="2">
        <v>93.587627100000006</v>
      </c>
      <c r="E8" s="2">
        <v>82.174645600000005</v>
      </c>
      <c r="F8" s="2">
        <v>90.662622799999994</v>
      </c>
      <c r="G8" s="2">
        <v>7.4682016500000001</v>
      </c>
      <c r="H8" s="2"/>
      <c r="I8" s="2">
        <v>62</v>
      </c>
      <c r="J8" s="2">
        <v>28.442858099999999</v>
      </c>
      <c r="K8" s="2">
        <v>34.349318599999997</v>
      </c>
      <c r="L8" s="2">
        <v>37.385007700000003</v>
      </c>
      <c r="M8" s="2">
        <v>33.392394799999998</v>
      </c>
      <c r="N8" s="2">
        <v>4.5472285100000001</v>
      </c>
    </row>
    <row r="9" spans="2:14" x14ac:dyDescent="0.2">
      <c r="B9" s="2"/>
      <c r="C9" s="2"/>
      <c r="D9" s="2"/>
      <c r="E9" s="2"/>
      <c r="F9" s="2"/>
      <c r="G9" s="2"/>
      <c r="H9" s="2"/>
      <c r="I9" s="2">
        <v>125</v>
      </c>
      <c r="J9" s="2">
        <v>51.787997300000001</v>
      </c>
      <c r="K9" s="2">
        <v>61.224025300000001</v>
      </c>
      <c r="L9" s="2">
        <v>79.820619899999997</v>
      </c>
      <c r="M9" s="2">
        <v>64.277547499999997</v>
      </c>
      <c r="N9" s="2">
        <v>14.2635893</v>
      </c>
    </row>
    <row r="10" spans="2:14" x14ac:dyDescent="0.2">
      <c r="B10" s="2" t="s">
        <v>25</v>
      </c>
      <c r="C10" s="2"/>
      <c r="D10" s="2"/>
      <c r="E10" s="2"/>
      <c r="F10" s="2"/>
      <c r="G10" s="2"/>
      <c r="H10" s="2"/>
      <c r="I10" s="2">
        <v>250</v>
      </c>
      <c r="J10" s="2">
        <v>89.022362400000006</v>
      </c>
      <c r="K10" s="2">
        <v>89.097056499999994</v>
      </c>
      <c r="L10" s="2">
        <v>91.620229100000003</v>
      </c>
      <c r="M10" s="2">
        <v>89.913216000000006</v>
      </c>
      <c r="N10" s="2">
        <v>1.4787884099999999</v>
      </c>
    </row>
    <row r="11" spans="2:14" x14ac:dyDescent="0.2"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/>
      <c r="I11" s="2">
        <v>500</v>
      </c>
      <c r="J11" s="2">
        <v>97.242440000000002</v>
      </c>
      <c r="K11" s="2">
        <v>94.8350279</v>
      </c>
      <c r="L11" s="2">
        <v>95.5894361</v>
      </c>
      <c r="M11" s="2">
        <v>95.888968000000006</v>
      </c>
      <c r="N11" s="2">
        <v>1.2313398099999999</v>
      </c>
    </row>
    <row r="12" spans="2:14" x14ac:dyDescent="0.2">
      <c r="B12" s="2">
        <v>250</v>
      </c>
      <c r="C12" s="2">
        <v>49.700465600000001</v>
      </c>
      <c r="D12" s="2">
        <v>43.3823699</v>
      </c>
      <c r="E12" s="2">
        <v>34.025713099999997</v>
      </c>
      <c r="F12" s="2">
        <v>42.3695162</v>
      </c>
      <c r="G12" s="2">
        <v>7.8863091000000001</v>
      </c>
      <c r="H12" s="2"/>
      <c r="I12" s="2"/>
      <c r="J12" s="2"/>
      <c r="K12" s="2"/>
      <c r="L12" s="2"/>
      <c r="M12" s="2"/>
      <c r="N12" s="2"/>
    </row>
    <row r="13" spans="2:14" x14ac:dyDescent="0.2">
      <c r="B13" s="2">
        <v>500</v>
      </c>
      <c r="C13" s="2">
        <v>63.721166500000002</v>
      </c>
      <c r="D13" s="2">
        <v>63.132783600000003</v>
      </c>
      <c r="E13" s="2">
        <v>67.346943600000003</v>
      </c>
      <c r="F13" s="2">
        <v>64.733631200000005</v>
      </c>
      <c r="G13" s="2">
        <v>2.28223573</v>
      </c>
      <c r="H13" s="2"/>
      <c r="I13" s="2" t="s">
        <v>26</v>
      </c>
      <c r="J13" s="2"/>
      <c r="K13" s="2"/>
      <c r="L13" s="2"/>
      <c r="M13" s="2"/>
      <c r="N13" s="2"/>
    </row>
    <row r="14" spans="2:14" x14ac:dyDescent="0.2">
      <c r="B14" s="2"/>
      <c r="C14" s="2"/>
      <c r="D14" s="2"/>
      <c r="E14" s="2"/>
      <c r="F14" s="2"/>
      <c r="G14" s="2"/>
      <c r="H14" s="2"/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2:14" x14ac:dyDescent="0.2">
      <c r="B15" s="2" t="s">
        <v>27</v>
      </c>
      <c r="C15" s="2"/>
      <c r="D15" s="2"/>
      <c r="E15" s="2"/>
      <c r="F15" s="2"/>
      <c r="G15" s="2"/>
      <c r="H15" s="2"/>
      <c r="I15" s="2">
        <v>30</v>
      </c>
      <c r="J15" s="2">
        <v>25.0117625</v>
      </c>
      <c r="K15" s="2">
        <v>10.357966899999999</v>
      </c>
      <c r="L15" s="2">
        <v>-2.4443671999999999</v>
      </c>
      <c r="M15" s="2">
        <v>10.975120799999999</v>
      </c>
      <c r="N15" s="2">
        <v>13.738465100000001</v>
      </c>
    </row>
    <row r="16" spans="2:14" x14ac:dyDescent="0.2"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/>
      <c r="I16" s="2">
        <v>62</v>
      </c>
      <c r="J16" s="2">
        <v>20.962401700000001</v>
      </c>
      <c r="K16" s="2">
        <v>0.40998312999999997</v>
      </c>
      <c r="L16" s="2">
        <v>39.048406700000001</v>
      </c>
      <c r="M16" s="2">
        <v>20.1402638</v>
      </c>
      <c r="N16" s="2">
        <v>19.332327200000002</v>
      </c>
    </row>
    <row r="17" spans="2:14" x14ac:dyDescent="0.2">
      <c r="B17" s="2">
        <v>250</v>
      </c>
      <c r="C17" s="2">
        <v>19.1512028</v>
      </c>
      <c r="D17" s="2">
        <v>5.8052990800000002</v>
      </c>
      <c r="E17" s="2">
        <v>-3.5178349999999998</v>
      </c>
      <c r="F17" s="2">
        <v>7.1462222899999999</v>
      </c>
      <c r="G17" s="2">
        <v>11.393852499999999</v>
      </c>
      <c r="H17" s="2"/>
      <c r="I17" s="2">
        <v>125</v>
      </c>
      <c r="J17" s="2">
        <v>25.441685499999998</v>
      </c>
      <c r="K17" s="2">
        <v>34.510407800000003</v>
      </c>
      <c r="L17" s="2">
        <v>61.313923199999998</v>
      </c>
      <c r="M17" s="2">
        <v>40.422005499999997</v>
      </c>
      <c r="N17" s="2">
        <v>18.652469</v>
      </c>
    </row>
    <row r="18" spans="2:14" x14ac:dyDescent="0.2">
      <c r="B18" s="2">
        <v>500</v>
      </c>
      <c r="C18" s="2">
        <v>21.383187899999999</v>
      </c>
      <c r="D18" s="2">
        <v>5.0104335200000003</v>
      </c>
      <c r="E18" s="2">
        <v>25.573778600000001</v>
      </c>
      <c r="F18" s="2">
        <v>17.3224667</v>
      </c>
      <c r="G18" s="2">
        <v>10.8664568</v>
      </c>
      <c r="H18" s="2"/>
      <c r="I18" s="2">
        <v>250</v>
      </c>
      <c r="J18" s="2">
        <v>34.243018399999997</v>
      </c>
      <c r="K18" s="2">
        <v>48.652095600000003</v>
      </c>
      <c r="L18" s="2">
        <v>90.587886400000002</v>
      </c>
      <c r="M18" s="2">
        <v>57.827666800000003</v>
      </c>
      <c r="N18" s="2">
        <v>29.271647900000001</v>
      </c>
    </row>
    <row r="19" spans="2:14" x14ac:dyDescent="0.2">
      <c r="B19" s="2"/>
      <c r="C19" s="2"/>
      <c r="D19" s="2"/>
      <c r="E19" s="2"/>
      <c r="F19" s="2"/>
      <c r="G19" s="2"/>
      <c r="H19" s="2"/>
      <c r="I19" s="2">
        <v>500</v>
      </c>
      <c r="J19" s="2">
        <v>75.754253000000006</v>
      </c>
      <c r="K19" s="2">
        <v>78.298609200000001</v>
      </c>
      <c r="L19" s="2">
        <v>95.229914199999996</v>
      </c>
      <c r="M19" s="2">
        <v>83.094258800000006</v>
      </c>
      <c r="N19" s="2">
        <v>10.5865025</v>
      </c>
    </row>
    <row r="20" spans="2:14" x14ac:dyDescent="0.2">
      <c r="B20" s="2" t="s">
        <v>28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2:14" x14ac:dyDescent="0.2"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/>
      <c r="I21" s="2" t="s">
        <v>29</v>
      </c>
      <c r="J21" s="2"/>
      <c r="K21" s="2"/>
      <c r="L21" s="2"/>
      <c r="M21" s="2"/>
      <c r="N21" s="2"/>
    </row>
    <row r="22" spans="2:14" x14ac:dyDescent="0.2">
      <c r="B22" s="2">
        <v>250</v>
      </c>
      <c r="C22" s="2">
        <v>11.349144600000001</v>
      </c>
      <c r="D22" s="2">
        <v>21.1032209</v>
      </c>
      <c r="E22" s="2">
        <v>13.368157999999999</v>
      </c>
      <c r="F22" s="2">
        <v>15.273507800000001</v>
      </c>
      <c r="G22" s="2">
        <v>5.1486182600000001</v>
      </c>
      <c r="H22" s="2"/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2:14" x14ac:dyDescent="0.2">
      <c r="B23" s="2">
        <v>500</v>
      </c>
      <c r="C23" s="2">
        <v>25.498047100000001</v>
      </c>
      <c r="D23" s="2">
        <v>32.052722500000002</v>
      </c>
      <c r="E23" s="2">
        <v>26.647981999999999</v>
      </c>
      <c r="F23" s="2">
        <v>28.066250499999999</v>
      </c>
      <c r="G23" s="2">
        <v>3.49993664</v>
      </c>
      <c r="H23" s="2"/>
      <c r="I23" s="2">
        <v>30</v>
      </c>
      <c r="J23" s="2">
        <v>5.0152229699999999</v>
      </c>
      <c r="K23" s="2">
        <v>22.656001</v>
      </c>
      <c r="L23" s="2">
        <v>27.042700499999999</v>
      </c>
      <c r="M23" s="2">
        <v>18.2379748</v>
      </c>
      <c r="N23" s="2">
        <v>11.659402099999999</v>
      </c>
    </row>
    <row r="24" spans="2:14" x14ac:dyDescent="0.2">
      <c r="B24" s="2"/>
      <c r="C24" s="2"/>
      <c r="D24" s="2"/>
      <c r="E24" s="2"/>
      <c r="F24" s="2"/>
      <c r="G24" s="2"/>
      <c r="H24" s="2"/>
      <c r="I24" s="2">
        <v>62</v>
      </c>
      <c r="J24" s="2">
        <v>39.320060499999997</v>
      </c>
      <c r="K24" s="2">
        <v>50.971553100000001</v>
      </c>
      <c r="L24" s="2">
        <v>37.4760548</v>
      </c>
      <c r="M24" s="2">
        <v>42.589222800000002</v>
      </c>
      <c r="N24" s="2">
        <v>7.3176284000000003</v>
      </c>
    </row>
    <row r="25" spans="2:14" x14ac:dyDescent="0.2">
      <c r="B25" s="2"/>
      <c r="C25" s="2"/>
      <c r="D25" s="2"/>
      <c r="E25" s="2"/>
      <c r="F25" s="2"/>
      <c r="G25" s="2"/>
      <c r="H25" s="2"/>
      <c r="I25" s="2">
        <v>125</v>
      </c>
      <c r="J25" s="2">
        <v>86.170537699999997</v>
      </c>
      <c r="K25" s="2">
        <v>85.066384999999997</v>
      </c>
      <c r="L25" s="2">
        <v>34.012583200000002</v>
      </c>
      <c r="M25" s="2">
        <v>68.416501999999994</v>
      </c>
      <c r="N25" s="2">
        <v>29.799782</v>
      </c>
    </row>
    <row r="26" spans="2:14" x14ac:dyDescent="0.2">
      <c r="B26" s="2"/>
      <c r="C26" s="2"/>
      <c r="D26" s="2"/>
      <c r="E26" s="2"/>
      <c r="F26" s="2"/>
      <c r="G26" s="2"/>
      <c r="H26" s="2"/>
      <c r="I26" s="2">
        <v>250</v>
      </c>
      <c r="J26" s="2">
        <v>95.177059799999995</v>
      </c>
      <c r="K26" s="2">
        <v>86.508755300000004</v>
      </c>
      <c r="L26" s="2">
        <v>41.1428972</v>
      </c>
      <c r="M26" s="2">
        <v>74.276237399999999</v>
      </c>
      <c r="N26" s="2">
        <v>29.019795899999998</v>
      </c>
    </row>
    <row r="27" spans="2:14" x14ac:dyDescent="0.2">
      <c r="B27" s="2"/>
      <c r="C27" s="2"/>
      <c r="D27" s="2"/>
      <c r="E27" s="2"/>
      <c r="F27" s="2"/>
      <c r="G27" s="2"/>
      <c r="H27" s="2"/>
      <c r="I27" s="2">
        <v>500</v>
      </c>
      <c r="J27" s="2">
        <v>97.631536600000004</v>
      </c>
      <c r="K27" s="2">
        <v>87.832893299999995</v>
      </c>
      <c r="L27" s="2">
        <v>76.227400000000003</v>
      </c>
      <c r="M27" s="2">
        <v>87.230609900000005</v>
      </c>
      <c r="N27" s="2">
        <v>10.714771300000001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0808-D08F-EA40-B11E-0B7FEAB6EC56}">
  <dimension ref="B2:U22"/>
  <sheetViews>
    <sheetView tabSelected="1" workbookViewId="0">
      <selection activeCell="I26" sqref="I26"/>
    </sheetView>
  </sheetViews>
  <sheetFormatPr baseColWidth="10" defaultRowHeight="16" x14ac:dyDescent="0.2"/>
  <sheetData>
    <row r="2" spans="2:21" x14ac:dyDescent="0.2">
      <c r="B2" s="1" t="s">
        <v>46</v>
      </c>
    </row>
    <row r="3" spans="2:21" x14ac:dyDescent="0.2">
      <c r="B3" t="s">
        <v>47</v>
      </c>
      <c r="I3" s="1" t="s">
        <v>32</v>
      </c>
      <c r="P3" s="1" t="s">
        <v>33</v>
      </c>
    </row>
    <row r="4" spans="2:21" x14ac:dyDescent="0.2">
      <c r="B4" t="s">
        <v>15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2:21" x14ac:dyDescent="0.2">
      <c r="B5">
        <v>0</v>
      </c>
      <c r="C5">
        <v>0</v>
      </c>
      <c r="D5">
        <v>0</v>
      </c>
      <c r="E5">
        <v>0</v>
      </c>
      <c r="F5">
        <f>AVERAGE(C5:E5)</f>
        <v>0</v>
      </c>
      <c r="G5">
        <f t="shared" ref="G5:G12" si="0">STDEV(C5:E5)</f>
        <v>0</v>
      </c>
      <c r="I5" t="s">
        <v>36</v>
      </c>
      <c r="J5" t="s">
        <v>5</v>
      </c>
      <c r="K5" t="s">
        <v>6</v>
      </c>
      <c r="L5" t="s">
        <v>7</v>
      </c>
      <c r="M5" t="s">
        <v>8</v>
      </c>
      <c r="N5" t="s">
        <v>9</v>
      </c>
      <c r="P5" t="s">
        <v>37</v>
      </c>
      <c r="Q5" t="s">
        <v>5</v>
      </c>
      <c r="R5" t="s">
        <v>6</v>
      </c>
      <c r="S5" t="s">
        <v>7</v>
      </c>
      <c r="T5" t="s">
        <v>8</v>
      </c>
      <c r="U5" t="s">
        <v>9</v>
      </c>
    </row>
    <row r="6" spans="2:21" x14ac:dyDescent="0.2">
      <c r="B6">
        <v>2</v>
      </c>
      <c r="C6">
        <v>40.60550597664794</v>
      </c>
      <c r="D6">
        <v>44.414735508705306</v>
      </c>
      <c r="E6">
        <v>39.041492047601118</v>
      </c>
      <c r="F6">
        <f t="shared" ref="F6:F22" si="1">AVERAGE(C6:E6)</f>
        <v>41.353911177651447</v>
      </c>
      <c r="G6">
        <f t="shared" si="0"/>
        <v>2.7636966334497646</v>
      </c>
      <c r="I6">
        <v>0</v>
      </c>
      <c r="J6">
        <v>0</v>
      </c>
      <c r="K6">
        <v>0</v>
      </c>
      <c r="L6">
        <v>0</v>
      </c>
      <c r="M6">
        <f>AVERAGE(J6:L6)</f>
        <v>0</v>
      </c>
      <c r="N6">
        <f>STDEV(J6:L6)</f>
        <v>0</v>
      </c>
      <c r="P6">
        <v>0</v>
      </c>
      <c r="Q6">
        <v>0</v>
      </c>
      <c r="R6">
        <v>0</v>
      </c>
      <c r="S6">
        <v>0</v>
      </c>
      <c r="T6">
        <f>AVERAGE(Q6:S6)</f>
        <v>0</v>
      </c>
      <c r="U6">
        <f>STDEV(Q6:S6)</f>
        <v>0</v>
      </c>
    </row>
    <row r="7" spans="2:21" x14ac:dyDescent="0.2">
      <c r="B7">
        <v>5</v>
      </c>
      <c r="C7">
        <v>66.716877748203615</v>
      </c>
      <c r="D7">
        <v>61.214394581044552</v>
      </c>
      <c r="E7">
        <v>65.475947327460517</v>
      </c>
      <c r="F7">
        <f t="shared" si="1"/>
        <v>64.469073218902892</v>
      </c>
      <c r="G7">
        <f t="shared" si="0"/>
        <v>2.8861179556767929</v>
      </c>
      <c r="I7">
        <v>125</v>
      </c>
      <c r="J7">
        <v>21.595087288952442</v>
      </c>
      <c r="K7">
        <v>-7.5446581930608119</v>
      </c>
      <c r="L7">
        <v>1.3315860662849417</v>
      </c>
      <c r="M7">
        <f t="shared" ref="M7:M21" si="2">AVERAGE(J7:L7)</f>
        <v>5.1273383873921903</v>
      </c>
      <c r="N7">
        <f>STDEV(J7:L7)</f>
        <v>14.936096995250173</v>
      </c>
      <c r="P7">
        <v>125</v>
      </c>
      <c r="Q7">
        <v>11.468162709100852</v>
      </c>
      <c r="R7">
        <v>3.3510548177595609</v>
      </c>
      <c r="S7">
        <v>4.8583120749849513</v>
      </c>
      <c r="T7">
        <f t="shared" ref="T7:T21" si="3">AVERAGE(Q7:S7)</f>
        <v>6.5591765339484551</v>
      </c>
      <c r="U7">
        <f>STDEV(Q7:S7)</f>
        <v>4.3175878752774288</v>
      </c>
    </row>
    <row r="8" spans="2:21" x14ac:dyDescent="0.2">
      <c r="B8">
        <v>10</v>
      </c>
      <c r="C8">
        <v>63.786230744460916</v>
      </c>
      <c r="D8">
        <v>86.132126557645293</v>
      </c>
      <c r="E8">
        <v>62.283807286319238</v>
      </c>
      <c r="F8">
        <f t="shared" si="1"/>
        <v>70.734054862808492</v>
      </c>
      <c r="G8">
        <f t="shared" si="0"/>
        <v>13.356263624284791</v>
      </c>
      <c r="I8">
        <v>250</v>
      </c>
      <c r="J8">
        <v>14.493962125654875</v>
      </c>
      <c r="K8">
        <v>0.11662870932308067</v>
      </c>
      <c r="L8">
        <v>-5.4745421605332893</v>
      </c>
      <c r="M8">
        <f t="shared" si="2"/>
        <v>3.0453495581482222</v>
      </c>
      <c r="N8">
        <f>STDEV(J8:L8)</f>
        <v>10.301375889396331</v>
      </c>
      <c r="P8">
        <v>250</v>
      </c>
      <c r="Q8">
        <v>2.1977622730606896</v>
      </c>
      <c r="R8">
        <v>13.514588558216019</v>
      </c>
      <c r="S8">
        <v>5.9863889118328615</v>
      </c>
      <c r="T8">
        <f t="shared" si="3"/>
        <v>7.2329132477031903</v>
      </c>
      <c r="U8">
        <f>STDEV(Q8:S8)</f>
        <v>5.7604692935587618</v>
      </c>
    </row>
    <row r="9" spans="2:21" x14ac:dyDescent="0.2">
      <c r="B9">
        <v>15</v>
      </c>
      <c r="C9">
        <v>88.029361629438071</v>
      </c>
      <c r="D9">
        <v>73.218412657046215</v>
      </c>
      <c r="E9">
        <v>89.44607239551172</v>
      </c>
      <c r="F9">
        <f t="shared" si="1"/>
        <v>83.564615560665331</v>
      </c>
      <c r="G9">
        <f t="shared" si="0"/>
        <v>8.9880311103611437</v>
      </c>
      <c r="I9">
        <v>500</v>
      </c>
      <c r="J9">
        <v>29.155899164975764</v>
      </c>
      <c r="K9">
        <v>6.4052699212438</v>
      </c>
      <c r="L9">
        <v>-9.3161218270189607</v>
      </c>
      <c r="M9">
        <f t="shared" si="2"/>
        <v>8.7483490864002018</v>
      </c>
      <c r="N9">
        <f>STDEV(J9:L9)</f>
        <v>19.342740622330723</v>
      </c>
      <c r="P9">
        <v>500</v>
      </c>
      <c r="Q9">
        <v>-0.48420845675266833</v>
      </c>
      <c r="R9">
        <v>6.300029048550229</v>
      </c>
      <c r="S9">
        <v>-7.2218104091639361</v>
      </c>
      <c r="T9">
        <f t="shared" si="3"/>
        <v>-0.46866327245545847</v>
      </c>
      <c r="U9">
        <f>STDEV(Q9:S9)</f>
        <v>6.7609331323135455</v>
      </c>
    </row>
    <row r="10" spans="2:21" x14ac:dyDescent="0.2">
      <c r="B10">
        <v>30</v>
      </c>
      <c r="C10">
        <v>91.558387961841447</v>
      </c>
      <c r="D10">
        <v>84.535747739164705</v>
      </c>
      <c r="E10">
        <v>86.506827042175303</v>
      </c>
      <c r="F10">
        <f t="shared" si="1"/>
        <v>87.533654247727156</v>
      </c>
      <c r="G10">
        <f t="shared" si="0"/>
        <v>3.6221746930311594</v>
      </c>
    </row>
    <row r="11" spans="2:21" x14ac:dyDescent="0.2">
      <c r="B11">
        <v>45</v>
      </c>
      <c r="C11">
        <v>88.709217937196016</v>
      </c>
      <c r="D11">
        <v>91.973396534542957</v>
      </c>
      <c r="E11">
        <v>85.638603388492868</v>
      </c>
      <c r="F11">
        <f t="shared" si="1"/>
        <v>88.773739286743947</v>
      </c>
      <c r="G11">
        <f t="shared" si="0"/>
        <v>3.167889408458163</v>
      </c>
      <c r="I11" t="s">
        <v>38</v>
      </c>
      <c r="P11" t="s">
        <v>39</v>
      </c>
    </row>
    <row r="12" spans="2:21" x14ac:dyDescent="0.2">
      <c r="B12">
        <v>60</v>
      </c>
      <c r="C12">
        <v>94.981522936360605</v>
      </c>
      <c r="D12">
        <v>94.109534759775229</v>
      </c>
      <c r="E12">
        <v>93.835018323583895</v>
      </c>
      <c r="F12">
        <f t="shared" si="1"/>
        <v>94.308692006573253</v>
      </c>
      <c r="G12">
        <f t="shared" si="0"/>
        <v>0.59863671245062477</v>
      </c>
      <c r="I12">
        <v>0</v>
      </c>
      <c r="J12">
        <v>0</v>
      </c>
      <c r="K12">
        <v>0</v>
      </c>
      <c r="L12">
        <v>0</v>
      </c>
      <c r="M12">
        <f t="shared" si="2"/>
        <v>0</v>
      </c>
      <c r="N12">
        <f>STDEV(J12:L12)</f>
        <v>0</v>
      </c>
      <c r="P12">
        <v>0</v>
      </c>
      <c r="Q12">
        <v>0</v>
      </c>
      <c r="R12">
        <v>0</v>
      </c>
      <c r="S12">
        <v>0</v>
      </c>
      <c r="T12">
        <f t="shared" si="3"/>
        <v>0</v>
      </c>
      <c r="U12">
        <f>STDEV(Q12:S12)</f>
        <v>0</v>
      </c>
    </row>
    <row r="13" spans="2:21" x14ac:dyDescent="0.2">
      <c r="I13">
        <v>125</v>
      </c>
      <c r="J13">
        <v>85.317635360516618</v>
      </c>
      <c r="K13">
        <v>86.39165960733142</v>
      </c>
      <c r="L13">
        <v>86.189266533296802</v>
      </c>
      <c r="M13">
        <f t="shared" si="2"/>
        <v>85.96618716704829</v>
      </c>
      <c r="N13">
        <f>STDEV(J13:L13)</f>
        <v>0.57070598684515905</v>
      </c>
      <c r="P13">
        <v>125</v>
      </c>
      <c r="Q13">
        <v>7.876414825822792</v>
      </c>
      <c r="R13">
        <v>8.0563261057954207</v>
      </c>
      <c r="S13">
        <v>-2.8922393666691733</v>
      </c>
      <c r="T13">
        <f t="shared" si="3"/>
        <v>4.3468338549830134</v>
      </c>
      <c r="U13">
        <f>STDEV(Q13:S13)</f>
        <v>6.2698666531670879</v>
      </c>
    </row>
    <row r="14" spans="2:21" x14ac:dyDescent="0.2">
      <c r="B14" t="s">
        <v>21</v>
      </c>
      <c r="I14">
        <v>250</v>
      </c>
      <c r="J14">
        <v>98.914618734843486</v>
      </c>
      <c r="K14">
        <v>94.805806424517115</v>
      </c>
      <c r="L14">
        <v>98.746806530930684</v>
      </c>
      <c r="M14">
        <f t="shared" si="2"/>
        <v>97.489077230097109</v>
      </c>
      <c r="N14">
        <f>STDEV(J14:L14)</f>
        <v>2.325295012682024</v>
      </c>
      <c r="P14">
        <v>250</v>
      </c>
      <c r="Q14">
        <v>-0.66977796626373731</v>
      </c>
      <c r="R14">
        <v>7.301566562139854</v>
      </c>
      <c r="S14">
        <v>-4.7731866455850991</v>
      </c>
      <c r="T14">
        <f t="shared" si="3"/>
        <v>0.61953398343033916</v>
      </c>
      <c r="U14">
        <f>STDEV(Q14:S14)</f>
        <v>6.1397606007550465</v>
      </c>
    </row>
    <row r="15" spans="2:21" x14ac:dyDescent="0.2">
      <c r="B15">
        <v>0</v>
      </c>
      <c r="C15">
        <v>0</v>
      </c>
      <c r="D15">
        <v>0</v>
      </c>
      <c r="E15">
        <v>0</v>
      </c>
      <c r="F15">
        <f t="shared" si="1"/>
        <v>0</v>
      </c>
      <c r="G15">
        <f t="shared" ref="G15:G22" si="4">STDEV(C15:E15)</f>
        <v>0</v>
      </c>
      <c r="I15">
        <v>500</v>
      </c>
      <c r="J15">
        <v>99.348188061459524</v>
      </c>
      <c r="K15">
        <v>93.469237832504263</v>
      </c>
      <c r="L15">
        <v>98.746806530930684</v>
      </c>
      <c r="M15">
        <f t="shared" si="2"/>
        <v>97.188077474964828</v>
      </c>
      <c r="N15">
        <f>STDEV(J15:L15)</f>
        <v>3.234616074755619</v>
      </c>
      <c r="P15">
        <v>500</v>
      </c>
      <c r="Q15">
        <v>3.2489783905905227</v>
      </c>
      <c r="R15">
        <v>3.9243900368970657</v>
      </c>
      <c r="S15">
        <v>-5.6359480332788792</v>
      </c>
      <c r="T15">
        <f t="shared" si="3"/>
        <v>0.51247346473623645</v>
      </c>
      <c r="U15">
        <f>STDEV(Q15:S15)</f>
        <v>5.3353875595810711</v>
      </c>
    </row>
    <row r="16" spans="2:21" x14ac:dyDescent="0.2">
      <c r="B16">
        <v>2</v>
      </c>
      <c r="C16">
        <v>54.7472781424269</v>
      </c>
      <c r="D16">
        <v>40.003338780798714</v>
      </c>
      <c r="E16">
        <v>58.017900326449244</v>
      </c>
      <c r="F16">
        <f t="shared" si="1"/>
        <v>50.92283908322495</v>
      </c>
      <c r="G16">
        <f t="shared" si="4"/>
        <v>9.5969191675594434</v>
      </c>
    </row>
    <row r="17" spans="2:21" x14ac:dyDescent="0.2">
      <c r="B17">
        <v>5</v>
      </c>
      <c r="C17">
        <v>77.472303243560773</v>
      </c>
      <c r="D17">
        <v>56.115404718890005</v>
      </c>
      <c r="E17">
        <v>79.678543521878311</v>
      </c>
      <c r="F17">
        <f t="shared" si="1"/>
        <v>71.088750494776363</v>
      </c>
      <c r="G17">
        <f t="shared" si="4"/>
        <v>13.014134117743193</v>
      </c>
      <c r="I17" t="s">
        <v>42</v>
      </c>
      <c r="P17" t="s">
        <v>43</v>
      </c>
    </row>
    <row r="18" spans="2:21" x14ac:dyDescent="0.2">
      <c r="B18">
        <v>10</v>
      </c>
      <c r="C18">
        <v>82.189626349058102</v>
      </c>
      <c r="D18">
        <v>63.846554074591275</v>
      </c>
      <c r="E18">
        <v>84.034527835221297</v>
      </c>
      <c r="F18">
        <f t="shared" si="1"/>
        <v>76.690236086290227</v>
      </c>
      <c r="G18">
        <f t="shared" si="4"/>
        <v>11.161139775428015</v>
      </c>
      <c r="I18">
        <v>0</v>
      </c>
      <c r="J18">
        <v>0</v>
      </c>
      <c r="K18">
        <v>0</v>
      </c>
      <c r="L18">
        <v>0</v>
      </c>
      <c r="M18">
        <f t="shared" si="2"/>
        <v>0</v>
      </c>
      <c r="N18">
        <f>STDEV(J18:L18)</f>
        <v>0</v>
      </c>
      <c r="P18">
        <v>0</v>
      </c>
      <c r="Q18">
        <v>0</v>
      </c>
      <c r="R18">
        <v>0</v>
      </c>
      <c r="S18">
        <v>0</v>
      </c>
      <c r="T18">
        <f t="shared" si="3"/>
        <v>0</v>
      </c>
      <c r="U18">
        <f>STDEV(Q18:S18)</f>
        <v>0</v>
      </c>
    </row>
    <row r="19" spans="2:21" x14ac:dyDescent="0.2">
      <c r="B19">
        <v>15</v>
      </c>
      <c r="C19">
        <v>81.554464212600351</v>
      </c>
      <c r="D19">
        <v>57.013610755401331</v>
      </c>
      <c r="E19">
        <v>81.344650272700946</v>
      </c>
      <c r="F19">
        <f t="shared" si="1"/>
        <v>73.304241746900871</v>
      </c>
      <c r="G19">
        <f t="shared" si="4"/>
        <v>14.108490317828071</v>
      </c>
      <c r="I19">
        <v>125</v>
      </c>
      <c r="J19">
        <v>55.133104854271622</v>
      </c>
      <c r="K19">
        <v>40.682719034850393</v>
      </c>
      <c r="L19">
        <v>56.268739201716564</v>
      </c>
      <c r="M19">
        <f t="shared" si="2"/>
        <v>50.694854363612855</v>
      </c>
      <c r="N19">
        <f>STDEV(J19:L19)</f>
        <v>8.6893358045287261</v>
      </c>
      <c r="P19">
        <v>125</v>
      </c>
      <c r="Q19">
        <v>-0.73190178399988781</v>
      </c>
      <c r="R19">
        <v>-8.3419381250468376</v>
      </c>
      <c r="S19">
        <v>3.3561654102600187</v>
      </c>
      <c r="T19">
        <f t="shared" si="3"/>
        <v>-1.9058914995955689</v>
      </c>
      <c r="U19">
        <f>STDEV(Q19:S19)</f>
        <v>5.9367579932091736</v>
      </c>
    </row>
    <row r="20" spans="2:21" x14ac:dyDescent="0.2">
      <c r="B20">
        <v>30</v>
      </c>
      <c r="C20">
        <v>87.603953166190067</v>
      </c>
      <c r="D20">
        <v>63.846554074591275</v>
      </c>
      <c r="E20">
        <v>87.271147224710631</v>
      </c>
      <c r="F20">
        <f t="shared" si="1"/>
        <v>79.57388482183066</v>
      </c>
      <c r="G20">
        <f t="shared" si="4"/>
        <v>13.621284420841761</v>
      </c>
      <c r="I20">
        <v>250</v>
      </c>
      <c r="J20">
        <v>96.749492885794623</v>
      </c>
      <c r="K20">
        <v>86.801287799797663</v>
      </c>
      <c r="L20">
        <v>96.518324994208967</v>
      </c>
      <c r="M20">
        <f t="shared" si="2"/>
        <v>93.356368559933756</v>
      </c>
      <c r="N20">
        <f>STDEV(J20:L20)</f>
        <v>5.6780430147591145</v>
      </c>
      <c r="P20">
        <v>250</v>
      </c>
      <c r="Q20">
        <v>-1.6506121190360972</v>
      </c>
      <c r="R20">
        <v>-2.0875638547328066</v>
      </c>
      <c r="S20">
        <v>-0.4689307921107968</v>
      </c>
      <c r="T20">
        <f t="shared" si="3"/>
        <v>-1.4023689219599003</v>
      </c>
      <c r="U20">
        <f>STDEV(Q20:S20)</f>
        <v>0.83738387942701376</v>
      </c>
    </row>
    <row r="21" spans="2:21" x14ac:dyDescent="0.2">
      <c r="B21">
        <v>45</v>
      </c>
      <c r="C21">
        <v>92.1979753976361</v>
      </c>
      <c r="D21">
        <v>86.532492224656409</v>
      </c>
      <c r="E21">
        <v>93.028643347046952</v>
      </c>
      <c r="F21">
        <f t="shared" si="1"/>
        <v>90.586370323113158</v>
      </c>
      <c r="G21">
        <f t="shared" si="4"/>
        <v>3.535243702830833</v>
      </c>
      <c r="I21">
        <v>500</v>
      </c>
      <c r="J21">
        <v>97.864723420295647</v>
      </c>
      <c r="K21">
        <v>95.765937042801752</v>
      </c>
      <c r="L21">
        <v>98.42097811765646</v>
      </c>
      <c r="M21">
        <f t="shared" si="2"/>
        <v>97.350546193584634</v>
      </c>
      <c r="N21">
        <f>STDEV(J21:L21)</f>
        <v>1.4002122848491914</v>
      </c>
      <c r="P21">
        <v>500</v>
      </c>
      <c r="Q21">
        <v>-11.060942087279159</v>
      </c>
      <c r="R21">
        <v>1.6137747571339247</v>
      </c>
      <c r="S21">
        <v>5.6756579271395822</v>
      </c>
      <c r="T21">
        <f t="shared" si="3"/>
        <v>-1.2571698010018839</v>
      </c>
      <c r="U21">
        <f>STDEV(Q21:S21)</f>
        <v>8.7298446150305313</v>
      </c>
    </row>
    <row r="22" spans="2:21" x14ac:dyDescent="0.2">
      <c r="B22">
        <v>60</v>
      </c>
      <c r="C22">
        <v>94.682677471270424</v>
      </c>
      <c r="D22">
        <v>87.487744835309854</v>
      </c>
      <c r="E22">
        <v>95.283935276062252</v>
      </c>
      <c r="F22">
        <f t="shared" si="1"/>
        <v>92.484785860880848</v>
      </c>
      <c r="G22">
        <f t="shared" si="4"/>
        <v>4.3379940059185698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 </vt:lpstr>
      <vt:lpstr>Results 2</vt:lpstr>
      <vt:lpstr>Results 3</vt:lpstr>
      <vt:lpstr>Results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 Brolih</dc:creator>
  <cp:lastModifiedBy>Sanja Brolih</cp:lastModifiedBy>
  <dcterms:created xsi:type="dcterms:W3CDTF">2026-02-23T11:06:46Z</dcterms:created>
  <dcterms:modified xsi:type="dcterms:W3CDTF">2026-02-23T11:27:56Z</dcterms:modified>
</cp:coreProperties>
</file>